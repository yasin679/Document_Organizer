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ummary" sheetId="1" state="visible" r:id="rId3"/>
    <sheet name="Test cases" sheetId="2" state="visible" r:id="rId4"/>
    <sheet name="Checker scenarios" sheetId="3" state="visible" r:id="rId5"/>
    <sheet name="Findings" sheetId="4" state="visible" r:id="rId6"/>
  </sheets>
  <definedNames>
    <definedName function="false" hidden="true" localSheetId="2" name="_xlnm._FilterDatabase" vbProcedure="false">'Checker scenarios'!$A$1:$I$296</definedName>
    <definedName function="false" hidden="true" localSheetId="1" name="_xlnm._FilterDatabase" vbProcedure="false">'Test cases'!$A$1:$I$469</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<sst xmlns="http://schemas.openxmlformats.org/spreadsheetml/2006/main" count="5512" uniqueCount="1998">
  <si>
    <t xml:space="preserve">Document Organizer v2.1 — Maker-checker test evidence</t>
  </si>
  <si>
    <t xml:space="preserve">Generated 23-Oct-2026. Maker = the developer's automated suites (final round 5). Checker = an independent agent that did not write the code or the maker's tests: it re-ran every suite on its own instance and ran its own scenarios.</t>
  </si>
  <si>
    <t xml:space="preserve">Suite</t>
  </si>
  <si>
    <t xml:space="preserve">Checks</t>
  </si>
  <si>
    <t xml:space="preserve">Maker PASS</t>
  </si>
  <si>
    <t xml:space="preserve">Maker FAIL</t>
  </si>
  <si>
    <t xml:space="preserve">Checker PASS</t>
  </si>
  <si>
    <t xml:space="preserve">Checker FAIL / not run</t>
  </si>
  <si>
    <t xml:space="preserve">tests/e2e.mjs</t>
  </si>
  <si>
    <t xml:space="preserve">tests/e2e-mapping.mjs</t>
  </si>
  <si>
    <t xml:space="preserve">tests/e2e-scenarios.mjs</t>
  </si>
  <si>
    <t xml:space="preserve">tests/e2e-exclusions.mjs</t>
  </si>
  <si>
    <t xml:space="preserve">tests/e2e-makerchecker.mjs</t>
  </si>
  <si>
    <t xml:space="preserve">tests/e2e-security.mjs</t>
  </si>
  <si>
    <t xml:space="preserve">tests/e2e-live.mjs</t>
  </si>
  <si>
    <t xml:space="preserve">Browser: multiple mapping files</t>
  </si>
  <si>
    <t xml:space="preserve">Browser: bulk exclusion</t>
  </si>
  <si>
    <t xml:space="preserve">Browser: maker-checker</t>
  </si>
  <si>
    <t xml:space="preserve">Crash and resume (SIGKILL during copy)</t>
  </si>
  <si>
    <t xml:space="preserve">Upgrade from v2.0 database</t>
  </si>
  <si>
    <t xml:space="preserve">Total (maker suites)</t>
  </si>
  <si>
    <t xml:space="preserve">Checker's own scenarios (latest run)</t>
  </si>
  <si>
    <t xml:space="preserve">Each FAIL row was reviewed: a problem that is now fixed, or a mistake in the checker's own script (see the Checker's review column).</t>
  </si>
  <si>
    <t xml:space="preserve">   of which still open after review</t>
  </si>
  <si>
    <t xml:space="preserve">Findings</t>
  </si>
  <si>
    <t xml:space="preserve">Count</t>
  </si>
  <si>
    <t xml:space="preserve">Fixed</t>
  </si>
  <si>
    <t xml:space="preserve">Open</t>
  </si>
  <si>
    <t xml:space="preserve">High / Medium</t>
  </si>
  <si>
    <t xml:space="preserve">Low</t>
  </si>
  <si>
    <t xml:space="preserve">Round 1</t>
  </si>
  <si>
    <t xml:space="preserve">Round 2</t>
  </si>
  <si>
    <t xml:space="preserve">Round 3</t>
  </si>
  <si>
    <t xml:space="preserve">Round 4</t>
  </si>
  <si>
    <t xml:space="preserve">How to read: "Not run" in the checker column means the maker added the check after the checker's last run, or it is a maker-only browser/process test; the checker covered those areas with its own scripts (Checker scenarios).</t>
  </si>
  <si>
    <t xml:space="preserve">Test ID</t>
  </si>
  <si>
    <t xml:space="preserve">Area</t>
  </si>
  <si>
    <t xml:space="preserve">Check (what is verified)</t>
  </si>
  <si>
    <t xml:space="preserve">Maker result</t>
  </si>
  <si>
    <t xml:space="preserve">Maker round</t>
  </si>
  <si>
    <t xml:space="preserve">Checker result</t>
  </si>
  <si>
    <t xml:space="preserve">Checker round</t>
  </si>
  <si>
    <t xml:space="preserve">Notes</t>
  </si>
  <si>
    <t xml:space="preserve">EE-001</t>
  </si>
  <si>
    <t xml:space="preserve">Core flow: folders, Azure Blob, S3, cross-provider</t>
  </si>
  <si>
    <t xml:space="preserve">admin login</t>
  </si>
  <si>
    <t xml:space="preserve">PASS</t>
  </si>
  <si>
    <t xml:space="preserve">EE-002</t>
  </si>
  <si>
    <t xml:space="preserve">CSRF header required</t>
  </si>
  <si>
    <t xml:space="preserve">EE-003</t>
  </si>
  <si>
    <t xml:space="preserve">job created JOB-20261023-0001</t>
  </si>
  <si>
    <t xml:space="preserve">EE-004</t>
  </si>
  <si>
    <t xml:space="preserve">mapping read: 471 rows, headers ID,EmployeeCode,Type,Name,Description,UploadedOn,FileName,ModuleCode,SubModuleCode</t>
  </si>
  <si>
    <t xml:space="preserve">EE-005</t>
  </si>
  <si>
    <t xml:space="preserve">columns auto-mapped</t>
  </si>
  <si>
    <t xml:space="preserve">EE-006</t>
  </si>
  <si>
    <t xml:space="preserve">scan finished: Awaiting approval</t>
  </si>
  <si>
    <t xml:space="preserve">EE-007</t>
  </si>
  <si>
    <t xml:space="preserve">unmapped = 7</t>
  </si>
  <si>
    <t xml:space="preserve">EE-008</t>
  </si>
  <si>
    <t xml:space="preserve">missing = 3</t>
  </si>
  <si>
    <t xml:space="preserve">EE-009</t>
  </si>
  <si>
    <t xml:space="preserve">ambiguous = 2</t>
  </si>
  <si>
    <t xml:space="preserve">EE-010</t>
  </si>
  <si>
    <t xml:space="preserve">invalid = 5 (blank emp, blank type, no date, 0-byte, blank filename)</t>
  </si>
  <si>
    <t xml:space="preserve">EE-011</t>
  </si>
  <si>
    <t xml:space="preserve">duplicate = 2 (duplicate record + duplicate physical file)</t>
  </si>
  <si>
    <t xml:space="preserve">EE-012</t>
  </si>
  <si>
    <t xml:space="preserve">every discovered file accounted for</t>
  </si>
  <si>
    <t xml:space="preserve">EE-013</t>
  </si>
  <si>
    <t xml:space="preserve">ambiguous item has 2 candidates (id_proof.pdf)</t>
  </si>
  <si>
    <t xml:space="preserve">EE-014</t>
  </si>
  <si>
    <t xml:space="preserve">ambiguous resolved</t>
  </si>
  <si>
    <t xml:space="preserve">EE-015</t>
  </si>
  <si>
    <t xml:space="preserve">reference example path: E00879/Medical Certificate/2021/e00879_final_certificate.pdf</t>
  </si>
  <si>
    <t xml:space="preserve">EE-016</t>
  </si>
  <si>
    <t xml:space="preserve">case-insensitive match</t>
  </si>
  <si>
    <t xml:space="preserve">EE-017</t>
  </si>
  <si>
    <t xml:space="preserve">normalized match</t>
  </si>
  <si>
    <t xml:space="preserve">EE-018</t>
  </si>
  <si>
    <t xml:space="preserve">tree preview: 153 employees, 8 types, 2016-2025</t>
  </si>
  <si>
    <t xml:space="preserve">EE-019</t>
  </si>
  <si>
    <t xml:space="preserve">validation report xlsx (53291 bytes)</t>
  </si>
  <si>
    <t xml:space="preserve">EE-020</t>
  </si>
  <si>
    <t xml:space="preserve">processed 459 of 459 ready (failed 0)</t>
  </si>
  <si>
    <t xml:space="preserve">EE-021</t>
  </si>
  <si>
    <t xml:space="preserve">integrity Sha256 recorded and matching</t>
  </si>
  <si>
    <t xml:space="preserve">EE-022</t>
  </si>
  <si>
    <t xml:space="preserve">reconciliation CSV header</t>
  </si>
  <si>
    <t xml:space="preserve">EE-023</t>
  </si>
  <si>
    <t xml:space="preserve">reconciliation has one row per item (477)</t>
  </si>
  <si>
    <t xml:space="preserve">EE-024</t>
  </si>
  <si>
    <t xml:space="preserve">retry rejected when nothing failed</t>
  </si>
  <si>
    <t xml:space="preserve">EE-025</t>
  </si>
  <si>
    <t xml:space="preserve">job created JOB-20261023-0002</t>
  </si>
  <si>
    <t xml:space="preserve">EE-026</t>
  </si>
  <si>
    <t xml:space="preserve">EE-027</t>
  </si>
  <si>
    <t xml:space="preserve">EE-028</t>
  </si>
  <si>
    <t xml:space="preserve">EE-029</t>
  </si>
  <si>
    <t xml:space="preserve">EE-030</t>
  </si>
  <si>
    <t xml:space="preserve">EE-031</t>
  </si>
  <si>
    <t xml:space="preserve">EE-032</t>
  </si>
  <si>
    <t xml:space="preserve">EE-033</t>
  </si>
  <si>
    <t xml:space="preserve">EE-034</t>
  </si>
  <si>
    <t xml:space="preserve">EE-035</t>
  </si>
  <si>
    <t xml:space="preserve">EE-036</t>
  </si>
  <si>
    <t xml:space="preserve">EE-037</t>
  </si>
  <si>
    <t xml:space="preserve">EE-038</t>
  </si>
  <si>
    <t xml:space="preserve">EE-039</t>
  </si>
  <si>
    <t xml:space="preserve">EE-040</t>
  </si>
  <si>
    <t xml:space="preserve">EE-041</t>
  </si>
  <si>
    <t xml:space="preserve">validation report xlsx (54206 bytes)</t>
  </si>
  <si>
    <t xml:space="preserve">EE-042</t>
  </si>
  <si>
    <t xml:space="preserve">EE-043</t>
  </si>
  <si>
    <t xml:space="preserve">EE-044</t>
  </si>
  <si>
    <t xml:space="preserve">EE-045</t>
  </si>
  <si>
    <t xml:space="preserve">EE-046</t>
  </si>
  <si>
    <t xml:space="preserve">EE-047</t>
  </si>
  <si>
    <t xml:space="preserve">job created JOB-20261023-0003</t>
  </si>
  <si>
    <t xml:space="preserve">EE-048</t>
  </si>
  <si>
    <t xml:space="preserve">EE-049</t>
  </si>
  <si>
    <t xml:space="preserve">EE-050</t>
  </si>
  <si>
    <t xml:space="preserve">EE-051</t>
  </si>
  <si>
    <t xml:space="preserve">EE-052</t>
  </si>
  <si>
    <t xml:space="preserve">EE-053</t>
  </si>
  <si>
    <t xml:space="preserve">EE-054</t>
  </si>
  <si>
    <t xml:space="preserve">EE-055</t>
  </si>
  <si>
    <t xml:space="preserve">EE-056</t>
  </si>
  <si>
    <t xml:space="preserve">EE-057</t>
  </si>
  <si>
    <t xml:space="preserve">EE-058</t>
  </si>
  <si>
    <t xml:space="preserve">EE-059</t>
  </si>
  <si>
    <t xml:space="preserve">EE-060</t>
  </si>
  <si>
    <t xml:space="preserve">EE-061</t>
  </si>
  <si>
    <t xml:space="preserve">EE-062</t>
  </si>
  <si>
    <t xml:space="preserve">EE-063</t>
  </si>
  <si>
    <t xml:space="preserve">validation report xlsx (54308 bytes)</t>
  </si>
  <si>
    <t xml:space="preserve">EE-064</t>
  </si>
  <si>
    <t xml:space="preserve">EE-065</t>
  </si>
  <si>
    <t xml:space="preserve">EE-066</t>
  </si>
  <si>
    <t xml:space="preserve">EE-067</t>
  </si>
  <si>
    <t xml:space="preserve">EE-068</t>
  </si>
  <si>
    <t xml:space="preserve">EE-069</t>
  </si>
  <si>
    <t xml:space="preserve">job created JOB-20261023-0004</t>
  </si>
  <si>
    <t xml:space="preserve">EE-070</t>
  </si>
  <si>
    <t xml:space="preserve">EE-071</t>
  </si>
  <si>
    <t xml:space="preserve">EE-072</t>
  </si>
  <si>
    <t xml:space="preserve">EE-073</t>
  </si>
  <si>
    <t xml:space="preserve">EE-074</t>
  </si>
  <si>
    <t xml:space="preserve">EE-075</t>
  </si>
  <si>
    <t xml:space="preserve">EE-076</t>
  </si>
  <si>
    <t xml:space="preserve">EE-077</t>
  </si>
  <si>
    <t xml:space="preserve">EE-078</t>
  </si>
  <si>
    <t xml:space="preserve">EE-079</t>
  </si>
  <si>
    <t xml:space="preserve">EE-080</t>
  </si>
  <si>
    <t xml:space="preserve">EE-081</t>
  </si>
  <si>
    <t xml:space="preserve">EE-082</t>
  </si>
  <si>
    <t xml:space="preserve">EE-083</t>
  </si>
  <si>
    <t xml:space="preserve">EE-084</t>
  </si>
  <si>
    <t xml:space="preserve">EE-085</t>
  </si>
  <si>
    <t xml:space="preserve">validation report xlsx (54556 bytes)</t>
  </si>
  <si>
    <t xml:space="preserve">EE-086</t>
  </si>
  <si>
    <t xml:space="preserve">EE-087</t>
  </si>
  <si>
    <t xml:space="preserve">EE-088</t>
  </si>
  <si>
    <t xml:space="preserve">EE-089</t>
  </si>
  <si>
    <t xml:space="preserve">EE-090</t>
  </si>
  <si>
    <t xml:space="preserve">EE-091</t>
  </si>
  <si>
    <t xml:space="preserve">job created JOB-20261023-0005</t>
  </si>
  <si>
    <t xml:space="preserve">EE-092</t>
  </si>
  <si>
    <t xml:space="preserve">EE-093</t>
  </si>
  <si>
    <t xml:space="preserve">EE-094</t>
  </si>
  <si>
    <t xml:space="preserve">EE-095</t>
  </si>
  <si>
    <t xml:space="preserve">EE-096</t>
  </si>
  <si>
    <t xml:space="preserve">EE-097</t>
  </si>
  <si>
    <t xml:space="preserve">EE-098</t>
  </si>
  <si>
    <t xml:space="preserve">EE-099</t>
  </si>
  <si>
    <t xml:space="preserve">EE-100</t>
  </si>
  <si>
    <t xml:space="preserve">EE-101</t>
  </si>
  <si>
    <t xml:space="preserve">EE-102</t>
  </si>
  <si>
    <t xml:space="preserve">EE-103</t>
  </si>
  <si>
    <t xml:space="preserve">EE-104</t>
  </si>
  <si>
    <t xml:space="preserve">EE-105</t>
  </si>
  <si>
    <t xml:space="preserve">EE-106</t>
  </si>
  <si>
    <t xml:space="preserve">EE-107</t>
  </si>
  <si>
    <t xml:space="preserve">validation report xlsx (54604 bytes)</t>
  </si>
  <si>
    <t xml:space="preserve">EE-108</t>
  </si>
  <si>
    <t xml:space="preserve">EE-109</t>
  </si>
  <si>
    <t xml:space="preserve">EE-110</t>
  </si>
  <si>
    <t xml:space="preserve">EE-111</t>
  </si>
  <si>
    <t xml:space="preserve">EE-112</t>
  </si>
  <si>
    <t xml:space="preserve">EE-113</t>
  </si>
  <si>
    <t xml:space="preserve">job created JOB-20261023-0006</t>
  </si>
  <si>
    <t xml:space="preserve">EE-114</t>
  </si>
  <si>
    <t xml:space="preserve">EE-115</t>
  </si>
  <si>
    <t xml:space="preserve">EE-116</t>
  </si>
  <si>
    <t xml:space="preserve">EE-117</t>
  </si>
  <si>
    <t xml:space="preserve">EE-118</t>
  </si>
  <si>
    <t xml:space="preserve">EE-119</t>
  </si>
  <si>
    <t xml:space="preserve">EE-120</t>
  </si>
  <si>
    <t xml:space="preserve">EE-121</t>
  </si>
  <si>
    <t xml:space="preserve">EE-122</t>
  </si>
  <si>
    <t xml:space="preserve">EE-123</t>
  </si>
  <si>
    <t xml:space="preserve">EE-124</t>
  </si>
  <si>
    <t xml:space="preserve">EE-125</t>
  </si>
  <si>
    <t xml:space="preserve">EE-126</t>
  </si>
  <si>
    <t xml:space="preserve">EE-127</t>
  </si>
  <si>
    <t xml:space="preserve">EE-128</t>
  </si>
  <si>
    <t xml:space="preserve">EE-129</t>
  </si>
  <si>
    <t xml:space="preserve">validation report xlsx (54335 bytes)</t>
  </si>
  <si>
    <t xml:space="preserve">EE-130</t>
  </si>
  <si>
    <t xml:space="preserve">EE-131</t>
  </si>
  <si>
    <t xml:space="preserve">EE-132</t>
  </si>
  <si>
    <t xml:space="preserve">EE-133</t>
  </si>
  <si>
    <t xml:space="preserve">EE-134</t>
  </si>
  <si>
    <t xml:space="preserve">EE-135</t>
  </si>
  <si>
    <t xml:space="preserve">job created JOB-20261023-0007</t>
  </si>
  <si>
    <t xml:space="preserve">EE-136</t>
  </si>
  <si>
    <t xml:space="preserve">EE-137</t>
  </si>
  <si>
    <t xml:space="preserve">EE-138</t>
  </si>
  <si>
    <t xml:space="preserve">EE-139</t>
  </si>
  <si>
    <t xml:space="preserve">EE-140</t>
  </si>
  <si>
    <t xml:space="preserve">EE-141</t>
  </si>
  <si>
    <t xml:space="preserve">EE-142</t>
  </si>
  <si>
    <t xml:space="preserve">EE-143</t>
  </si>
  <si>
    <t xml:space="preserve">EE-144</t>
  </si>
  <si>
    <t xml:space="preserve">EE-145</t>
  </si>
  <si>
    <t xml:space="preserve">EE-146</t>
  </si>
  <si>
    <t xml:space="preserve">EE-147</t>
  </si>
  <si>
    <t xml:space="preserve">EE-148</t>
  </si>
  <si>
    <t xml:space="preserve">EE-149</t>
  </si>
  <si>
    <t xml:space="preserve">EE-150</t>
  </si>
  <si>
    <t xml:space="preserve">EE-151</t>
  </si>
  <si>
    <t xml:space="preserve">validation report xlsx (54356 bytes)</t>
  </si>
  <si>
    <t xml:space="preserve">EE-152</t>
  </si>
  <si>
    <t xml:space="preserve">EE-153</t>
  </si>
  <si>
    <t xml:space="preserve">EE-154</t>
  </si>
  <si>
    <t xml:space="preserve">EE-155</t>
  </si>
  <si>
    <t xml:space="preserve">EE-156</t>
  </si>
  <si>
    <t xml:space="preserve">EE-157</t>
  </si>
  <si>
    <t xml:space="preserve">viewer blocked from operating (403)</t>
  </si>
  <si>
    <t xml:space="preserve">EE-158</t>
  </si>
  <si>
    <t xml:space="preserve">viewer can list jobs</t>
  </si>
  <si>
    <t xml:space="preserve">EE-159</t>
  </si>
  <si>
    <t xml:space="preserve">audit log has approvals and resolutions (90 events)</t>
  </si>
  <si>
    <t xml:space="preserve">EEM-001</t>
  </si>
  <si>
    <t xml:space="preserve">Mapping files: split cells, placeholders, repeats</t>
  </si>
  <si>
    <t xml:space="preserve">two mapping files uploaded together (2 files, 10 rows)</t>
  </si>
  <si>
    <t xml:space="preserve">EEM-002</t>
  </si>
  <si>
    <t xml:space="preserve">second file auto-mapped with its own column names</t>
  </si>
  <si>
    <t xml:space="preserve">EEM-003</t>
  </si>
  <si>
    <t xml:space="preserve">mapping file removed</t>
  </si>
  <si>
    <t xml:space="preserve">EEM-004</t>
  </si>
  <si>
    <t xml:space="preserve">mapping file added to an existing job</t>
  </si>
  <si>
    <t xml:space="preserve">EEM-005</t>
  </si>
  <si>
    <t xml:space="preserve">EEM-006</t>
  </si>
  <si>
    <t xml:space="preserve">READY = 7 (a1, a2, a3 from one cell; "report, final.pdf"; dup; x1; b1)</t>
  </si>
  <si>
    <t xml:space="preserve">EEM-007</t>
  </si>
  <si>
    <t xml:space="preserve">UNMAPPED = 1 (z.pdf)</t>
  </si>
  <si>
    <t xml:space="preserve">EEM-008</t>
  </si>
  <si>
    <t xml:space="preserve">INVALID = 1 (FileName NULL)</t>
  </si>
  <si>
    <t xml:space="preserve">EEM-009</t>
  </si>
  <si>
    <t xml:space="preserve">MISSING = 3 (missing1 twice, missing2)</t>
  </si>
  <si>
    <t xml:space="preserve">EEM-010</t>
  </si>
  <si>
    <t xml:space="preserve">DUPLICATE = 2 (repeat of dup.pdf, repeat of a1.pdf in map2)</t>
  </si>
  <si>
    <t xml:space="preserve">EEM-011</t>
  </si>
  <si>
    <t xml:space="preserve">ROW-2 split into ROW-2/1, ROW-2/2, ROW-2/3, all READY</t>
  </si>
  <si>
    <t xml:space="preserve">EEM-012</t>
  </si>
  <si>
    <t xml:space="preserve">real file name with a comma kept whole</t>
  </si>
  <si>
    <t xml:space="preserve">EEM-013</t>
  </si>
  <si>
    <t xml:space="preserve">NULL file name is INVALID (blank), not MISSING</t>
  </si>
  <si>
    <t xml:space="preserve">EEM-014</t>
  </si>
  <si>
    <t xml:space="preserve">repeat of a missing record is MISSING, with the first record named</t>
  </si>
  <si>
    <t xml:space="preserve">EEM-015</t>
  </si>
  <si>
    <t xml:space="preserve">repeat of a found record is DUPLICATE</t>
  </si>
  <si>
    <t xml:space="preserve">EEM-016</t>
  </si>
  <si>
    <t xml:space="preserve">semicolon split: one part found, one part missing</t>
  </si>
  <si>
    <t xml:space="preserve">EEM-017</t>
  </si>
  <si>
    <t xml:space="preserve">cross-file repeat names the other file (Duplicate mapping record: same file, employee and type as record ROW-2/1 in map1.csv.)</t>
  </si>
  <si>
    <t xml:space="preserve">EEM-018</t>
  </si>
  <si>
    <t xml:space="preserve">{MappingFile} token: map2/E7/Form16/b1.pdf</t>
  </si>
  <si>
    <t xml:space="preserve">EEM-019</t>
  </si>
  <si>
    <t xml:space="preserve">items carry their mapping file name</t>
  </si>
  <si>
    <t xml:space="preserve">EEM-020</t>
  </si>
  <si>
    <t xml:space="preserve">processed 7, failed 0</t>
  </si>
  <si>
    <t xml:space="preserve">EEM-021</t>
  </si>
  <si>
    <t xml:space="preserve">split entry copied to its own destination</t>
  </si>
  <si>
    <t xml:space="preserve">EEM-022</t>
  </si>
  <si>
    <t xml:space="preserve">reconciliation report has a Mapping File column</t>
  </si>
  <si>
    <t xml:space="preserve">EEM-023</t>
  </si>
  <si>
    <t xml:space="preserve">one report row per item (14)</t>
  </si>
  <si>
    <t xml:space="preserve">EEM-024</t>
  </si>
  <si>
    <t xml:space="preserve">POST /mapping replaces all mapping files</t>
  </si>
  <si>
    <t xml:space="preserve">EES-001</t>
  </si>
  <si>
    <t xml:space="preserve">Mapping scenarios, multiple files, cloud round trip, keep-all rule</t>
  </si>
  <si>
    <t xml:space="preserve">spaces around the comma</t>
  </si>
  <si>
    <t xml:space="preserve">EES-002</t>
  </si>
  <si>
    <t xml:space="preserve">leading and trailing comma give one entry</t>
  </si>
  <si>
    <t xml:space="preserve">EES-003</t>
  </si>
  <si>
    <t xml:space="preserve">double comma ignored</t>
  </si>
  <si>
    <t xml:space="preserve">EES-004</t>
  </si>
  <si>
    <t xml:space="preserve">semicolon separator</t>
  </si>
  <si>
    <t xml:space="preserve">EES-005</t>
  </si>
  <si>
    <t xml:space="preserve">line break separator</t>
  </si>
  <si>
    <t xml:space="preserve">EES-006</t>
  </si>
  <si>
    <t xml:space="preserve">same file twice in one cell gives one entry</t>
  </si>
  <si>
    <t xml:space="preserve">EES-007</t>
  </si>
  <si>
    <t xml:space="preserve">folder paths in a multi-file cell</t>
  </si>
  <si>
    <t xml:space="preserve">EES-008</t>
  </si>
  <si>
    <t xml:space="preserve">comma name kept whole next to another name (report, final.pdf)</t>
  </si>
  <si>
    <t xml:space="preserve">EES-009</t>
  </si>
  <si>
    <t xml:space="preserve">cell of placeholders only is blank (INVALID)</t>
  </si>
  <si>
    <t xml:space="preserve">EES-010</t>
  </si>
  <si>
    <t xml:space="preserve">placeholder next to a name is dropped</t>
  </si>
  <si>
    <t xml:space="preserve">EES-011</t>
  </si>
  <si>
    <t xml:space="preserve">placeholder employee code is INVALID</t>
  </si>
  <si>
    <t xml:space="preserve">EES-012</t>
  </si>
  <si>
    <t xml:space="preserve">placeholder date gives INVALID year</t>
  </si>
  <si>
    <t xml:space="preserve">EES-013</t>
  </si>
  <si>
    <t xml:space="preserve">missing record and its two repeats are all MISSING</t>
  </si>
  <si>
    <t xml:space="preserve">EES-014</t>
  </si>
  <si>
    <t xml:space="preserve">found record repeated twice gives two DUPLICATE</t>
  </si>
  <si>
    <t xml:space="preserve">EES-015</t>
  </si>
  <si>
    <t xml:space="preserve">real file name with a comma alone in the cell</t>
  </si>
  <si>
    <t xml:space="preserve">EES-016</t>
  </si>
  <si>
    <t xml:space="preserve">A totals: 17 ready, 3 missing, 2 duplicate, 3 invalid, 0 unmapped</t>
  </si>
  <si>
    <t xml:space="preserve">EES-017</t>
  </si>
  <si>
    <t xml:space="preserve">validation report has one row per item (25)</t>
  </si>
  <si>
    <t xml:space="preserve">EES-018</t>
  </si>
  <si>
    <t xml:space="preserve">split off: multi-file cell is one MISSING record</t>
  </si>
  <si>
    <t xml:space="preserve">EES-019</t>
  </si>
  <si>
    <t xml:space="preserve">split off: comma name still found</t>
  </si>
  <si>
    <t xml:space="preserve">EES-020</t>
  </si>
  <si>
    <t xml:space="preserve">split off: the listed files become UNMAPPED (14)</t>
  </si>
  <si>
    <t xml:space="preserve">EES-021</t>
  </si>
  <si>
    <t xml:space="preserve">split on again: same totals as the first scan</t>
  </si>
  <si>
    <t xml:space="preserve">EES-022</t>
  </si>
  <si>
    <t xml:space="preserve">four files with different columns uploaded (11 rows)</t>
  </si>
  <si>
    <t xml:space="preserve">EES-023</t>
  </si>
  <si>
    <t xml:space="preserve">file 1 auto-mapped</t>
  </si>
  <si>
    <t xml:space="preserve">EES-024</t>
  </si>
  <si>
    <t xml:space="preserve">xlsx header found below the title rows (row index 3)</t>
  </si>
  <si>
    <t xml:space="preserve">EES-025</t>
  </si>
  <si>
    <t xml:space="preserve">xlsx auto-mapped despite other names, order and extra columns</t>
  </si>
  <si>
    <t xml:space="preserve">EES-026</t>
  </si>
  <si>
    <t xml:space="preserve">semicolon CSV auto-mapped</t>
  </si>
  <si>
    <t xml:space="preserve">EES-027</t>
  </si>
  <si>
    <t xml:space="preserve">unrecognised headers are left unmapped</t>
  </si>
  <si>
    <t xml:space="preserve">EES-028</t>
  </si>
  <si>
    <t xml:space="preserve">rules refused and the message names the file: "m4.csv: Employee code column is required. m4.csv: Document type column is required. m4.csv: File name column is required. m4.csv: Uploaded</t>
  </si>
  <si>
    <t xml:space="preserve">EES-029</t>
  </si>
  <si>
    <t xml:space="preserve">scan refused while file 4 is unmapped, naming the file</t>
  </si>
  <si>
    <t xml:space="preserve">EES-030</t>
  </si>
  <si>
    <t xml:space="preserve">hand mapping of file 4 saved, other files unchanged</t>
  </si>
  <si>
    <t xml:space="preserve">EES-031</t>
  </si>
  <si>
    <t xml:space="preserve">saving rules without fileColumns keeps every file's mapping</t>
  </si>
  <si>
    <t xml:space="preserve">EES-032</t>
  </si>
  <si>
    <t xml:space="preserve">scan with four different files: Awaiting approval</t>
  </si>
  <si>
    <t xml:space="preserve">EES-033</t>
  </si>
  <si>
    <t xml:space="preserve">file 1 (UploadedOn): m1/2021/E10/b1.pdf</t>
  </si>
  <si>
    <t xml:space="preserve">EES-034</t>
  </si>
  <si>
    <t xml:space="preserve">xlsx date cell gives the year: mixed-columns/2022/E20/x2a.pdf</t>
  </si>
  <si>
    <t xml:space="preserve">EES-035</t>
  </si>
  <si>
    <t xml:space="preserve">xlsx multi-line cell split</t>
  </si>
  <si>
    <t xml:space="preserve">EES-036</t>
  </si>
  <si>
    <t xml:space="preserve">xlsx NULL file name is INVALID</t>
  </si>
  <si>
    <t xml:space="preserve">EES-037</t>
  </si>
  <si>
    <t xml:space="preserve">Windows-1252 accented name found, year from the Year column: m3/2018/E30/Résumé.pdf</t>
  </si>
  <si>
    <t xml:space="preserve">EES-038</t>
  </si>
  <si>
    <t xml:space="preserve">year from "FY 2019-20"</t>
  </si>
  <si>
    <t xml:space="preserve">EES-039</t>
  </si>
  <si>
    <t xml:space="preserve">hand-mapped file 4 works</t>
  </si>
  <si>
    <t xml:space="preserve">EES-040</t>
  </si>
  <si>
    <t xml:space="preserve">same file in two mapping files is AMBIGUOUS with both files listed</t>
  </si>
  <si>
    <t xml:space="preserve">EES-041</t>
  </si>
  <si>
    <t xml:space="preserve">resolved to the right file despite colliding IDs: READY m4/2024/E41/amb.pdf Resolved. The file is ready for processing.</t>
  </si>
  <si>
    <t xml:space="preserve">EES-042</t>
  </si>
  <si>
    <t xml:space="preserve">B totals: {"READY":10,"PROCESSED":0,"UNMAPPED":0,"MISSING":0,"AMBIGUOUS":0,"DUPLICATE":0,"INVALID":1,"FAILED":0,"EXCLUDED":0}</t>
  </si>
  <si>
    <t xml:space="preserve">EES-043</t>
  </si>
  <si>
    <t xml:space="preserve">YearColumn rule: file without a Year column uses UploadedOn</t>
  </si>
  <si>
    <t xml:space="preserve">EES-044</t>
  </si>
  <si>
    <t xml:space="preserve">YearColumn rule: file with a Year column uses it</t>
  </si>
  <si>
    <t xml:space="preserve">EES-045</t>
  </si>
  <si>
    <t xml:space="preserve">YearColumn rule: blank Year cell is INVALID</t>
  </si>
  <si>
    <t xml:space="preserve">EES-046</t>
  </si>
  <si>
    <t xml:space="preserve">removing one file keeps the others and their mapping</t>
  </si>
  <si>
    <t xml:space="preserve">EES-047</t>
  </si>
  <si>
    <t xml:space="preserve">after removing the xlsx its 4 files are UNMAPPED ({"READY":5,"PROCESSED":0,"UNMAPPED":4,"MISSING":0,"AMBIGUOUS":1,"DUPLICATE":0,"INVALID":0,"FAILED":0,"EXCLUDED":0})</t>
  </si>
  <si>
    <t xml:space="preserve">EES-048</t>
  </si>
  <si>
    <t xml:space="preserve">copied (6 processed), accented name written</t>
  </si>
  <si>
    <t xml:space="preserve">EES-049</t>
  </si>
  <si>
    <t xml:space="preserve">reconciliation report names each mapping file</t>
  </si>
  <si>
    <t xml:space="preserve">EES-050</t>
  </si>
  <si>
    <t xml:space="preserve">mapping files cannot be added after approval</t>
  </si>
  <si>
    <t xml:space="preserve">EES-051</t>
  </si>
  <si>
    <t xml:space="preserve">mapping files cannot be removed after approval</t>
  </si>
  <si>
    <t xml:space="preserve">EES-052</t>
  </si>
  <si>
    <t xml:space="preserve">scan refused with no mapping file</t>
  </si>
  <si>
    <t xml:space="preserve">EES-053</t>
  </si>
  <si>
    <t xml:space="preserve">same file twice in one upload refused</t>
  </si>
  <si>
    <t xml:space="preserve">EES-054</t>
  </si>
  <si>
    <t xml:space="preserve">nothing kept from the refused upload</t>
  </si>
  <si>
    <t xml:space="preserve">EES-055</t>
  </si>
  <si>
    <t xml:space="preserve">no files left on disk from the refused upload</t>
  </si>
  <si>
    <t xml:space="preserve">Not run</t>
  </si>
  <si>
    <t xml:space="preserve">Added after the checker's last suite run, or wording differs</t>
  </si>
  <si>
    <t xml:space="preserve">EES-056</t>
  </si>
  <si>
    <t xml:space="preserve">file already added is refused, naming the earlier file</t>
  </si>
  <si>
    <t xml:space="preserve">EES-057</t>
  </si>
  <si>
    <t xml:space="preserve">a batch with a broken workbook is refused</t>
  </si>
  <si>
    <t xml:space="preserve">EES-058</t>
  </si>
  <si>
    <t xml:space="preserve">the good file of a refused batch is not kept</t>
  </si>
  <si>
    <t xml:space="preserve">EES-059</t>
  </si>
  <si>
    <t xml:space="preserve">only the one accepted file is on disk (mapping-m1.csv)</t>
  </si>
  <si>
    <t xml:space="preserve">EES-060</t>
  </si>
  <si>
    <t xml:space="preserve">a second file with the same name is renamed (one (2).csv)</t>
  </si>
  <si>
    <t xml:space="preserve">EES-061</t>
  </si>
  <si>
    <t xml:space="preserve">a file that is not CSV or Excel is refused</t>
  </si>
  <si>
    <t xml:space="preserve">EES-062</t>
  </si>
  <si>
    <t xml:space="preserve">an empty mapping file is refused</t>
  </si>
  <si>
    <t xml:space="preserve">EES-063</t>
  </si>
  <si>
    <t xml:space="preserve">removing an unknown mapping file is refused</t>
  </si>
  <si>
    <t xml:space="preserve">EES-064</t>
  </si>
  <si>
    <t xml:space="preserve">a refused replacement keeps the current mapping file</t>
  </si>
  <si>
    <t xml:space="preserve">EES-065</t>
  </si>
  <si>
    <t xml:space="preserve">the current mapping file still scans after a refused replacement</t>
  </si>
  <si>
    <t xml:space="preserve">EES-066</t>
  </si>
  <si>
    <t xml:space="preserve">replacement accepted, even with content similar to the old file</t>
  </si>
  <si>
    <t xml:space="preserve">EES-067</t>
  </si>
  <si>
    <t xml:space="preserve">replacement leaves only the new file on disk (mapping-m2.csv)</t>
  </si>
  <si>
    <t xml:space="preserve">EES-068</t>
  </si>
  <si>
    <t xml:space="preserve">replacing a file with identical content is allowed</t>
  </si>
  <si>
    <t xml:space="preserve">EES-069</t>
  </si>
  <si>
    <t xml:space="preserve">a viewer cannot add or remove mapping files</t>
  </si>
  <si>
    <t xml:space="preserve">EES-070</t>
  </si>
  <si>
    <t xml:space="preserve">job still scans normally after the refused uploads</t>
  </si>
  <si>
    <t xml:space="preserve">EES-071</t>
  </si>
  <si>
    <t xml:space="preserve">data sheet found after a summary sheet, hidden sheet skipped (2 rows)</t>
  </si>
  <si>
    <t xml:space="preserve">EES-072</t>
  </si>
  <si>
    <t xml:space="preserve">only the data sheet is used ({"READY":2,"PROCESSED":0,"UNMAPPED":1,"MISSING":0,"AMBIGUOUS":0,"DUPLICATE":0,"INVALID":0,"FAILED":0,"EXCLUDED":0})</t>
  </si>
  <si>
    <t xml:space="preserve">EES-073</t>
  </si>
  <si>
    <t xml:space="preserve">default rule: flag as ambiguous</t>
  </si>
  <si>
    <t xml:space="preserve">EES-074</t>
  </si>
  <si>
    <t xml:space="preserve">flag: 2 ambiguous files ({"READY":1,"PROCESSED":0,"UNMAPPED":0,"MISSING":0,"AMBIGUOUS":2,"DUPLICATE":0,"INVALID":0,"FAILED":0,"EXCLUDED":0})</t>
  </si>
  <si>
    <t xml:space="preserve">EES-075</t>
  </si>
  <si>
    <t xml:space="preserve">an unknown rule is refused</t>
  </si>
  <si>
    <t xml:space="preserve">EES-076</t>
  </si>
  <si>
    <t xml:space="preserve">keep all: two records that give the same path keep one copy, the other is DUPLICATE</t>
  </si>
  <si>
    <t xml:space="preserve">EES-077</t>
  </si>
  <si>
    <t xml:space="preserve">exclusion of one copy is re-applied to that copy only after a new scan</t>
  </si>
  <si>
    <t xml:space="preserve">EES-078</t>
  </si>
  <si>
    <t xml:space="preserve">keep all: one item per record, files still counted once ({"READY":6,"PROCESSED":0,"UNMAPPED":0,"MISSING":0,"AMBIGUOUS":0,"DUPLICATE":0,"INVALID":0,"FAILED":0,"EXCLUDED":0}, 3 files)</t>
  </si>
  <si>
    <t xml:space="preserve">EES-079</t>
  </si>
  <si>
    <t xml:space="preserve">each record has its own destination: E1/Offer/2024/amb.pdf | E2/PAN/2023/amb.pdf | E3/Form16/2022/amb.pdf</t>
  </si>
  <si>
    <t xml:space="preserve">EES-080</t>
  </si>
  <si>
    <t xml:space="preserve">copied 6 ({"READY":0,"PROCESSED":6,"UNMAPPED":0,"MISSING":0,"AMBIGUOUS":0,"DUPLICATE":0,"INVALID":0,"FAILED":0,"EXCLUDED":0})</t>
  </si>
  <si>
    <t xml:space="preserve">EES-081</t>
  </si>
  <si>
    <t xml:space="preserve">the file is at each record's destination</t>
  </si>
  <si>
    <t xml:space="preserve">EES-082</t>
  </si>
  <si>
    <t xml:space="preserve">the final report has one row per record for the file</t>
  </si>
  <si>
    <t xml:space="preserve">EES-083</t>
  </si>
  <si>
    <t xml:space="preserve">the Excel report downloads</t>
  </si>
  <si>
    <t xml:space="preserve">EES-084</t>
  </si>
  <si>
    <t xml:space="preserve">folder -&gt; Azure: 17 ready, all copied</t>
  </si>
  <si>
    <t xml:space="preserve">EES-085</t>
  </si>
  <si>
    <t xml:space="preserve">Azure -&gt; S3: multi-file cells, comma names found in Azure; p.pdf and q.pdf were never copied so they are MISSING ({"READY":17,"PROCESSED":0,"UNMAPPED":0,"MISSING":5,"AMBIGUOUS":0,"DUPLICATE":2,"INVALID":1,"FAILED":0,"EXCLUDED":0})</t>
  </si>
  <si>
    <t xml:space="preserve">EES-086</t>
  </si>
  <si>
    <t xml:space="preserve">S3 -&gt; folder: same result from S3 ({"READY":17,"PROCESSED":0,"UNMAPPED":0,"MISSING":5,"AMBIGUOUS":0,"DUPLICATE":2,"INVALID":1,"FAILED":0,"EXCLUDED":0})</t>
  </si>
  <si>
    <t xml:space="preserve">EES-087</t>
  </si>
  <si>
    <t xml:space="preserve">comma names survive Azure and S3 round trip</t>
  </si>
  <si>
    <t xml:space="preserve">EES-088</t>
  </si>
  <si>
    <t xml:space="preserve">S3 to S3, same keys at the same moment: each key copied by exactly one job (120 + 0 of 120)</t>
  </si>
  <si>
    <t xml:space="preserve">EES-089</t>
  </si>
  <si>
    <t xml:space="preserve">the keys job A reports as copied hold job A's content (0 wrong)</t>
  </si>
  <si>
    <t xml:space="preserve">EES-090</t>
  </si>
  <si>
    <t xml:space="preserve">overlapping S3 destinations written at once: each object copied by one job only (120 + 0 of 120)</t>
  </si>
  <si>
    <t xml:space="preserve">EEE-001</t>
  </si>
  <si>
    <t xml:space="preserve">Bulk exclusion of exceptions</t>
  </si>
  <si>
    <t xml:space="preserve">nothing can be excluded before a scan</t>
  </si>
  <si>
    <t xml:space="preserve">EEE-002</t>
  </si>
  <si>
    <t xml:space="preserve">starting counts</t>
  </si>
  <si>
    <t xml:space="preserve">EEE-003</t>
  </si>
  <si>
    <t xml:space="preserve">exceptions grouped by reason: MISSING/File not in the source=3, UNMAPPED/No mapping record=3, INVALID/Blank file name=2, AMBIGUOUS/Several records match=1</t>
  </si>
  <si>
    <t xml:space="preserve">EEE-004</t>
  </si>
  <si>
    <t xml:space="preserve">a note is required</t>
  </si>
  <si>
    <t xml:space="preserve">EEE-005</t>
  </si>
  <si>
    <t xml:space="preserve">ready items cannot be excluded</t>
  </si>
  <si>
    <t xml:space="preserve">EEE-006</t>
  </si>
  <si>
    <t xml:space="preserve">ticked rows: only the exception is excluded (1 item excluded.)</t>
  </si>
  <si>
    <t xml:space="preserve">EEE-007</t>
  </si>
  <si>
    <t xml:space="preserve">excluded item keeps its original status, reason, who and why</t>
  </si>
  <si>
    <t xml:space="preserve">EEE-008</t>
  </si>
  <si>
    <t xml:space="preserve">whole reason excluded (2)</t>
  </si>
  <si>
    <t xml:space="preserve">EEE-009</t>
  </si>
  <si>
    <t xml:space="preserve">everything in a searched view excluded</t>
  </si>
  <si>
    <t xml:space="preserve">EEE-010</t>
  </si>
  <si>
    <t xml:space="preserve">a view of ready items is refused</t>
  </si>
  <si>
    <t xml:space="preserve">EEE-011</t>
  </si>
  <si>
    <t xml:space="preserve">a request without rows or "all in view" is refused</t>
  </si>
  <si>
    <t xml:space="preserve">EEE-012</t>
  </si>
  <si>
    <t xml:space="preserve">counts after excluding: {"READY":2,"PROCESSED":0,"UNMAPPED":2,"MISSING":2,"AMBIGUOUS":1,"DUPLICATE":0,"INVALID":0,"FAILED":0,"EXCLUDED":4}</t>
  </si>
  <si>
    <t xml:space="preserve">EEE-013</t>
  </si>
  <si>
    <t xml:space="preserve">the exceptions view no longer shows excluded items</t>
  </si>
  <si>
    <t xml:space="preserve">EEE-014</t>
  </si>
  <si>
    <t xml:space="preserve">excluded items grouped by original status and reason</t>
  </si>
  <si>
    <t xml:space="preserve">EEE-015</t>
  </si>
  <si>
    <t xml:space="preserve">a viewer cannot exclude or restore</t>
  </si>
  <si>
    <t xml:space="preserve">EEE-016</t>
  </si>
  <si>
    <t xml:space="preserve">a viewer can see excluded items</t>
  </si>
  <si>
    <t xml:space="preserve">EEE-017</t>
  </si>
  <si>
    <t xml:space="preserve">exclusions applied again after a new scan ({"READY":3,"PROCESSED":0,"UNMAPPED":2,"MISSING":1,"AMBIGUOUS":1,"DUPLICATE":0,"INVALID":0,"FAILED":0,"EXCLUDED":4})</t>
  </si>
  <si>
    <t xml:space="preserve">EEE-018</t>
  </si>
  <si>
    <t xml:space="preserve">an excluded MISSING record whose file has arrived is READY, not excluded</t>
  </si>
  <si>
    <t xml:space="preserve">EEE-019</t>
  </si>
  <si>
    <t xml:space="preserve">restored item is UNMAPPED again</t>
  </si>
  <si>
    <t xml:space="preserve">EEE-020</t>
  </si>
  <si>
    <t xml:space="preserve">a whole reason restored</t>
  </si>
  <si>
    <t xml:space="preserve">EEE-021</t>
  </si>
  <si>
    <t xml:space="preserve">restored items stay restored after a new scan ({"READY":3,"PROCESSED":0,"UNMAPPED":3,"MISSING":1,"AMBIGUOUS":1,"DUPLICATE":0,"INVALID":2,"FAILED":0,"EXCLUDED":1})</t>
  </si>
  <si>
    <t xml:space="preserve">EEE-022</t>
  </si>
  <si>
    <t xml:space="preserve">after copy: Completed with exceptions {"READY":0,"PROCESSED":4,"UNMAPPED":3,"MISSING":1,"AMBIGUOUS":0,"DUPLICATE":0,"INVALID":2,"FAILED":0,"EXCLUDED":1}</t>
  </si>
  <si>
    <t xml:space="preserve">EEE-023</t>
  </si>
  <si>
    <t xml:space="preserve">excluding every exception completes the job (6 excluded, Completed)</t>
  </si>
  <si>
    <t xml:space="preserve">EEE-024</t>
  </si>
  <si>
    <t xml:space="preserve">restoring one makes it "with exceptions" again</t>
  </si>
  <si>
    <t xml:space="preserve">EEE-025</t>
  </si>
  <si>
    <t xml:space="preserve">reconciliation report has the exclusion columns at the end</t>
  </si>
  <si>
    <t xml:space="preserve">EEE-026</t>
  </si>
  <si>
    <t xml:space="preserve">excluded rows in the report carry status, who and note</t>
  </si>
  <si>
    <t xml:space="preserve">EEE-027</t>
  </si>
  <si>
    <t xml:space="preserve">validation report has the exclusion columns</t>
  </si>
  <si>
    <t xml:space="preserve">EEE-028</t>
  </si>
  <si>
    <t xml:space="preserve">audit log records exclusions and restores</t>
  </si>
  <si>
    <t xml:space="preserve">Maker-checker (four-eyes)</t>
  </si>
  <si>
    <t xml:space="preserve">only an administrator can change the maker-checker setting</t>
  </si>
  <si>
    <t xml:space="preserve">turning maker-checker on is in the audit log</t>
  </si>
  <si>
    <t xml:space="preserve">a job cannot be submitted before it is scanned</t>
  </si>
  <si>
    <t xml:space="preserve">maker recorded (["mc.maker"])</t>
  </si>
  <si>
    <t xml:space="preserve">with maker-checker on, a job must be submitted before approval</t>
  </si>
  <si>
    <t xml:space="preserve">a viewer cannot submit</t>
  </si>
  <si>
    <t xml:space="preserve">submitted, with the note</t>
  </si>
  <si>
    <t xml:space="preserve">the jobs list shows who submitted it</t>
  </si>
  <si>
    <t xml:space="preserve">cannot submit twice</t>
  </si>
  <si>
    <t xml:space="preserve">rules, mapping, scan, exclude and resolve are locked while submitted (400,400,400,400,400)</t>
  </si>
  <si>
    <t xml:space="preserve">the maker cannot approve their own job</t>
  </si>
  <si>
    <t xml:space="preserve">the maker cannot reject their own job (they withdraw instead)</t>
  </si>
  <si>
    <t xml:space="preserve">a viewer cannot approve</t>
  </si>
  <si>
    <t xml:space="preserve">another operator cannot withdraw someone else's submission</t>
  </si>
  <si>
    <t xml:space="preserve">rejecting needs a reason</t>
  </si>
  <si>
    <t xml:space="preserve">rejected: back to the maker with the reason</t>
  </si>
  <si>
    <t xml:space="preserve">excluding makes the checker one of the makers</t>
  </si>
  <si>
    <t xml:space="preserve">someone who changed the job cannot approve it</t>
  </si>
  <si>
    <t xml:space="preserve">the submitter can withdraw</t>
  </si>
  <si>
    <t xml:space="preserve">approval still needs the confirmation</t>
  </si>
  <si>
    <t xml:space="preserve">with maker-checker on, approval must say which version was reviewed</t>
  </si>
  <si>
    <t xml:space="preserve">a person who did not work on the job approved it; copied 3</t>
  </si>
  <si>
    <t xml:space="preserve">submit, reject, withdraw and approve are in the audit log</t>
  </si>
  <si>
    <t xml:space="preserve">the approval entry names checker, submitter and makers</t>
  </si>
  <si>
    <t xml:space="preserve">EEM-025</t>
  </si>
  <si>
    <t xml:space="preserve">after approval, excluding creates a request (4 items)</t>
  </si>
  <si>
    <t xml:space="preserve">EEM-026</t>
  </si>
  <si>
    <t xml:space="preserve">nothing changes until it is approved</t>
  </si>
  <si>
    <t xml:space="preserve">EEM-027</t>
  </si>
  <si>
    <t xml:space="preserve">the requester cannot approve their own request</t>
  </si>
  <si>
    <t xml:space="preserve">EEM-028</t>
  </si>
  <si>
    <t xml:space="preserve">a viewer cannot approve a request</t>
  </si>
  <si>
    <t xml:space="preserve">EEM-029</t>
  </si>
  <si>
    <t xml:space="preserve">approved by a second person: Approved. 4 items excluded. Job Completed</t>
  </si>
  <si>
    <t xml:space="preserve">EEM-030</t>
  </si>
  <si>
    <t xml:space="preserve">excluded item records the requester and the approver</t>
  </si>
  <si>
    <t xml:space="preserve">EEM-031</t>
  </si>
  <si>
    <t xml:space="preserve">a decided request cannot be approved again</t>
  </si>
  <si>
    <t xml:space="preserve">EEM-032</t>
  </si>
  <si>
    <t xml:space="preserve">restoring after approval also creates a request</t>
  </si>
  <si>
    <t xml:space="preserve">EEM-033</t>
  </si>
  <si>
    <t xml:space="preserve">rejecting someone else's request needs a reason</t>
  </si>
  <si>
    <t xml:space="preserve">EEM-034</t>
  </si>
  <si>
    <t xml:space="preserve">request history: 3:Withdrawn, 2:Rejected, 1:Approved</t>
  </si>
  <si>
    <t xml:space="preserve">EEM-035</t>
  </si>
  <si>
    <t xml:space="preserve">rejected and withdrawn requests change nothing</t>
  </si>
  <si>
    <t xml:space="preserve">EEM-036</t>
  </si>
  <si>
    <t xml:space="preserve">a request with no matching items is refused</t>
  </si>
  <si>
    <t xml:space="preserve">EEM-037</t>
  </si>
  <si>
    <t xml:space="preserve">submit racing a mapping upload never leaves a changed job marked as submitted</t>
  </si>
  <si>
    <t xml:space="preserve">EEM-038</t>
  </si>
  <si>
    <t xml:space="preserve">approval from a page opened before the job changed is refused (409)</t>
  </si>
  <si>
    <t xml:space="preserve">EEM-039</t>
  </si>
  <si>
    <t xml:space="preserve">two approvals at the same moment: exactly one succeeds</t>
  </si>
  <si>
    <t xml:space="preserve">EEM-040</t>
  </si>
  <si>
    <t xml:space="preserve">only one approval is recorded</t>
  </si>
  <si>
    <t xml:space="preserve">EEM-041</t>
  </si>
  <si>
    <t xml:space="preserve">a second request for items already in a pending request is refused</t>
  </si>
  <si>
    <t xml:space="preserve">EEM-042</t>
  </si>
  <si>
    <t xml:space="preserve">approve and reject of the same request at the same moment: exactly one succeeds</t>
  </si>
  <si>
    <t xml:space="preserve">EEM-043</t>
  </si>
  <si>
    <t xml:space="preserve">with maker-checker off there is nothing to submit</t>
  </si>
  <si>
    <t xml:space="preserve">EEM-044</t>
  </si>
  <si>
    <t xml:space="preserve">with maker-checker off the maker approves directly</t>
  </si>
  <si>
    <t xml:space="preserve">EEM-045</t>
  </si>
  <si>
    <t xml:space="preserve">with maker-checker off, exclusions after approval apply directly</t>
  </si>
  <si>
    <t xml:space="preserve">Sessions, settings, sign-in protection</t>
  </si>
  <si>
    <t xml:space="preserve">a cookie copied before logout no longer works after logout</t>
  </si>
  <si>
    <t xml:space="preserve">the browser that changed the password stays signed in</t>
  </si>
  <si>
    <t xml:space="preserve">other sessions of that user are signed out by a password change</t>
  </si>
  <si>
    <t xml:space="preserve">an administrator's password reset signs the user out</t>
  </si>
  <si>
    <t xml:space="preserve">a disabled user is signed out on the next request</t>
  </si>
  <si>
    <t xml:space="preserve">saving one setting leaves the others unchanged</t>
  </si>
  <si>
    <t xml:space="preserve">a misspelt setting name is refused, not ignored</t>
  </si>
  <si>
    <t xml:space="preserve">a setting with a wrong type is refused</t>
  </si>
  <si>
    <t xml:space="preserve">five wrong passwords block sign-in from that computer</t>
  </si>
  <si>
    <t xml:space="preserve">while blocked, even the right password is refused from that computer</t>
  </si>
  <si>
    <t xml:space="preserve">request without the X-DocOrg header is refused (400)</t>
  </si>
  <si>
    <t xml:space="preserve">anonymous access is refused</t>
  </si>
  <si>
    <t xml:space="preserve">EEL-001</t>
  </si>
  <si>
    <t xml:space="preserve">Live scenarios: unsafe names, changed sources, duplicates, encodings, concurrency, reports</t>
  </si>
  <si>
    <t xml:space="preserve">12 jobs created at once all succeed with different numbers (12 ok)</t>
  </si>
  <si>
    <t xml:space="preserve">EEL-002</t>
  </si>
  <si>
    <t xml:space="preserve">traversal neutralised (one folder, no .. segment): .._.._escape/Offer/2024/l1a.pdf</t>
  </si>
  <si>
    <t xml:space="preserve">EEL-003</t>
  </si>
  <si>
    <t xml:space="preserve">invalid characters replaced: E1/PF_ Nomination__/2024/l1b.pdf</t>
  </si>
  <si>
    <t xml:space="preserve">EEL-004</t>
  </si>
  <si>
    <t xml:space="preserve">slash inside a value does not add a folder: E1/Form 16_A/2024/l1c.pdf</t>
  </si>
  <si>
    <t xml:space="preserve">EEL-005</t>
  </si>
  <si>
    <t xml:space="preserve">trailing dot removed: E1/Pvt Ltd/2024/l1d.pdf</t>
  </si>
  <si>
    <t xml:space="preserve">EEL-006</t>
  </si>
  <si>
    <t xml:space="preserve">reserved name prefixed: _CON/Offer/2024/l1e.pdf</t>
  </si>
  <si>
    <t xml:space="preserve">EEL-007</t>
  </si>
  <si>
    <t xml:space="preserve">reserved name before a dot prefixed: E1/_COM5.tar/2024/l1f.pdf</t>
  </si>
  <si>
    <t xml:space="preserve">EEL-008</t>
  </si>
  <si>
    <t xml:space="preserve">employee code of only dots is INVALID, not filed one level up</t>
  </si>
  <si>
    <t xml:space="preserve">EEL-009</t>
  </si>
  <si>
    <t xml:space="preserve">document type of only a dot is INVALID</t>
  </si>
  <si>
    <t xml:space="preserve">EEL-010</t>
  </si>
  <si>
    <t xml:space="preserve">a blank (or "-") value for a template token is INVALID instead of silently dropping a folder level</t>
  </si>
  <si>
    <t xml:space="preserve">EEL-011</t>
  </si>
  <si>
    <t xml:space="preserve">such items share one reason, so they can be excluded together (No mapping record=5, Blank value used in the folder template=2)</t>
  </si>
  <si>
    <t xml:space="preserve">EEL-012</t>
  </si>
  <si>
    <t xml:space="preserve">a template token whose column is not mapped is refused when the rules are saved</t>
  </si>
  <si>
    <t xml:space="preserve">EEL-013</t>
  </si>
  <si>
    <t xml:space="preserve">all six copied, every file inside the destination folder</t>
  </si>
  <si>
    <t xml:space="preserve">EEL-014</t>
  </si>
  <si>
    <t xml:space="preserve">nothing written outside the destination</t>
  </si>
  <si>
    <t xml:space="preserve">EEL-015</t>
  </si>
  <si>
    <t xml:space="preserve">decomposed (NFD) file name matched to a composed (NFC) record (READY)</t>
  </si>
  <si>
    <t xml:space="preserve">EEL-016</t>
  </si>
  <si>
    <t xml:space="preserve">case difference matched</t>
  </si>
  <si>
    <t xml:space="preserve">EEL-017</t>
  </si>
  <si>
    <t xml:space="preserve">spaces around the name ignored</t>
  </si>
  <si>
    <t xml:space="preserve">EEL-018</t>
  </si>
  <si>
    <t xml:space="preserve">the record with a path takes the file in that folder</t>
  </si>
  <si>
    <t xml:space="preserve">EEL-019</t>
  </si>
  <si>
    <t xml:space="preserve">the other file of the same name is reported, not lost (AMBIGUOUS: 2 mapping records match this file (ROW-5, ROW-6). Manual resolution required.)</t>
  </si>
  <si>
    <t xml:space="preserve">EEL-020</t>
  </si>
  <si>
    <t xml:space="preserve">empty file is INVALID</t>
  </si>
  <si>
    <t xml:space="preserve">EEL-021</t>
  </si>
  <si>
    <t xml:space="preserve">the application's own temporary files are ignored</t>
  </si>
  <si>
    <t xml:space="preserve">EEL-022</t>
  </si>
  <si>
    <t xml:space="preserve">files discovered counts only real files (6)</t>
  </si>
  <si>
    <t xml:space="preserve">EEL-023</t>
  </si>
  <si>
    <t xml:space="preserve">changed and removed files FAILED, the rest copied ({"READY":0,"PROCESSED":1,"UNMAPPED":0,"MISSING":0,"AMBIGUOUS":0,"DUPLICATE":0,"INVALID":0,"FAILED":2,"EXCLUDED":0})</t>
  </si>
  <si>
    <t xml:space="preserve">EEL-024</t>
  </si>
  <si>
    <t xml:space="preserve">reasons say changed / no longer exists</t>
  </si>
  <si>
    <t xml:space="preserve">EEL-025</t>
  </si>
  <si>
    <t xml:space="preserve">retry copies the current versions (2 queued; {"READY":0,"PROCESSED":3,"UNMAPPED":0,"MISSING":0,"AMBIGUOUS":0,"DUPLICATE":0,"INVALID":0,"FAILED":0,"EXCLUDED":0})</t>
  </si>
  <si>
    <t xml:space="preserve">EEL-026</t>
  </si>
  <si>
    <t xml:space="preserve">the retried copy is the current version</t>
  </si>
  <si>
    <t xml:space="preserve">EEL-027</t>
  </si>
  <si>
    <t xml:space="preserve">Skip: both reported, nothing overwritten</t>
  </si>
  <si>
    <t xml:space="preserve">EEL-028</t>
  </si>
  <si>
    <t xml:space="preserve">Compare hash: identical skipped, different copied with a suffix</t>
  </si>
  <si>
    <t xml:space="preserve">EEL-029</t>
  </si>
  <si>
    <t xml:space="preserve">Rename: both copied with a suffix</t>
  </si>
  <si>
    <t xml:space="preserve">EEL-030</t>
  </si>
  <si>
    <t xml:space="preserve">the existing destination file was never overwritten</t>
  </si>
  <si>
    <t xml:space="preserve">EEL-031</t>
  </si>
  <si>
    <t xml:space="preserve">Overwrite is refused unless an administrator allows it</t>
  </si>
  <si>
    <t xml:space="preserve">EEL-032</t>
  </si>
  <si>
    <t xml:space="preserve">destination inside the source is refused</t>
  </si>
  <si>
    <t xml:space="preserve">EEL-033</t>
  </si>
  <si>
    <t xml:space="preserve">destination equal to the source is refused</t>
  </si>
  <si>
    <t xml:space="preserve">EEL-034</t>
  </si>
  <si>
    <t xml:space="preserve">a sibling folder whose name starts the same is allowed</t>
  </si>
  <si>
    <t xml:space="preserve">EEL-035</t>
  </si>
  <si>
    <t xml:space="preserve">source inside the destination is refused (copies could land in the source)</t>
  </si>
  <si>
    <t xml:space="preserve">EEL-036</t>
  </si>
  <si>
    <t xml:space="preserve">empty source: every record MISSING</t>
  </si>
  <si>
    <t xml:space="preserve">EEL-037</t>
  </si>
  <si>
    <t xml:space="preserve">nothing ready: approval refused</t>
  </si>
  <si>
    <t xml:space="preserve">EEL-038</t>
  </si>
  <si>
    <t xml:space="preserve">mapping with headers only: every file UNMAPPED</t>
  </si>
  <si>
    <t xml:space="preserve">EEL-039</t>
  </si>
  <si>
    <t xml:space="preserve">UTF-16 tab-separated export ("Unicode Text") read ({"READY":1,"PROCESSED":0,"UNMAPPED":2,"MISSING":0,"AMBIGUOUS":0,"DUPLICATE":0,"INVALID":0,"FAILED":0,"EXCLUDED":0})</t>
  </si>
  <si>
    <t xml:space="preserve">EEL-040</t>
  </si>
  <si>
    <t xml:space="preserve">LF line endings, quoted comma and line break in another column, blank lines at the end ({"READY":1,"PROCESSED":0,"UNMAPPED":2,"MISSING":0,"AMBIGUOUS":0,"DUPLICATE":0,"INVALID":0,"FAILED":0,"EXCLUDED":0})</t>
  </si>
  <si>
    <t xml:space="preserve">EEL-041</t>
  </si>
  <si>
    <t xml:space="preserve">repeated and blank header columns: the first one is used ({"READY":1,"PROCESSED":0,"UNMAPPED":2,"MISSING":0,"AMBIGUOUS":0,"DUPLICATE":0,"INVALID":0,"FAILED":0,"EXCLUDED":0})</t>
  </si>
  <si>
    <t xml:space="preserve">EEL-042</t>
  </si>
  <si>
    <t xml:space="preserve">two jobs copying at the same time both finish completely</t>
  </si>
  <si>
    <t xml:space="preserve">EEL-043</t>
  </si>
  <si>
    <t xml:space="preserve">every copy identical to its source</t>
  </si>
  <si>
    <t xml:space="preserve">EEL-044</t>
  </si>
  <si>
    <t xml:space="preserve">search with %, _, quotes, backslash, brackets and emoji does not fail</t>
  </si>
  <si>
    <t xml:space="preserve">EEL-045</t>
  </si>
  <si>
    <t xml:space="preserve">% and _ are searched for literally (not as wildcards)</t>
  </si>
  <si>
    <t xml:space="preserve">EEL-046</t>
  </si>
  <si>
    <t xml:space="preserve">very long file names are shortened in the destination</t>
  </si>
  <si>
    <t xml:space="preserve">EEL-047</t>
  </si>
  <si>
    <t xml:space="preserve">two long names that shorten to the same name: one copied, the other reported (not overwritten)</t>
  </si>
  <si>
    <t xml:space="preserve">EEL-048</t>
  </si>
  <si>
    <t xml:space="preserve">each file is copied by exactly one job and holds that job's content (both: 0, wrong content: 0)</t>
  </si>
  <si>
    <t xml:space="preserve">EEL-049</t>
  </si>
  <si>
    <t xml:space="preserve">every item of both jobs checked</t>
  </si>
  <si>
    <t xml:space="preserve">EEL-050</t>
  </si>
  <si>
    <t xml:space="preserve">600 files copied in total, the rest reported as already at the destination (600 + 0)</t>
  </si>
  <si>
    <t xml:space="preserve">EEL-051</t>
  </si>
  <si>
    <t xml:space="preserve">Rename: every document of both jobs copied, none skipped (300 + 300, 600 files)</t>
  </si>
  <si>
    <t xml:space="preserve">EEL-052</t>
  </si>
  <si>
    <t xml:space="preserve">another change to the job went through while a 3-second upload was still arriving (waited 30 ms)</t>
  </si>
  <si>
    <t xml:space="preserve">EEL-053</t>
  </si>
  <si>
    <t xml:space="preserve">the slow upload itself succeeded (200)</t>
  </si>
  <si>
    <t xml:space="preserve">EEL-054</t>
  </si>
  <si>
    <t xml:space="preserve">CSV report neutralises formulas (=, +, @)</t>
  </si>
  <si>
    <t xml:space="preserve">EEL-055</t>
  </si>
  <si>
    <t xml:space="preserve">Excel report with control characters in values downloads</t>
  </si>
  <si>
    <t xml:space="preserve">EEL-056</t>
  </si>
  <si>
    <t xml:space="preserve">items beyond the per-sheet limit continue on another sheet (Summary, Validation, Validation 2)</t>
  </si>
  <si>
    <t xml:space="preserve">BMMF-001</t>
  </si>
  <si>
    <t xml:space="preserve">Browser (Playwright)</t>
  </si>
  <si>
    <t xml:space="preserve">four files listed with Remove buttons</t>
  </si>
  <si>
    <t xml:space="preserve">Maker-only browser / process test; checker ran its own browser and crash tests (see Checker scenarios)</t>
  </si>
  <si>
    <t xml:space="preserve">BMMF-002</t>
  </si>
  <si>
    <t xml:space="preserve">four preview tabs</t>
  </si>
  <si>
    <t xml:space="preserve">BMMF-003</t>
  </si>
  <si>
    <t xml:space="preserve">xlsx tab previews its own columns</t>
  </si>
  <si>
    <t xml:space="preserve">BMMF-004</t>
  </si>
  <si>
    <t xml:space="preserve">columns step warns that m4.csv is missing required columns</t>
  </si>
  <si>
    <t xml:space="preserve">BMMF-005</t>
  </si>
  <si>
    <t xml:space="preserve">Year-only file: note shown, Uploaded on not flagged missing</t>
  </si>
  <si>
    <t xml:space="preserve">BMMF-006</t>
  </si>
  <si>
    <t xml:space="preserve">warning gone after mapping m4 by hand</t>
  </si>
  <si>
    <t xml:space="preserve">BMMF-007</t>
  </si>
  <si>
    <t xml:space="preserve">hand mapping kept when switching tabs</t>
  </si>
  <si>
    <t xml:space="preserve">BMMF-008</t>
  </si>
  <si>
    <t xml:space="preserve">only the selected file is shown</t>
  </si>
  <si>
    <t xml:space="preserve">BMMF-009</t>
  </si>
  <si>
    <t xml:space="preserve">per-file mapping saved by Save and start scan</t>
  </si>
  <si>
    <t xml:space="preserve">BMMF-010</t>
  </si>
  <si>
    <t xml:space="preserve">scan from the UI: {"READY":9,"PROCESSED":0,"UNMAPPED":0,"MISSING":0,"AMBIGUOUS":1,"DUPLICATE":0,"INVALID":1,"FAILED":0,"EXCLUDED":0}</t>
  </si>
  <si>
    <t xml:space="preserve">BMMF-011</t>
  </si>
  <si>
    <t xml:space="preserve">resolve drawer names the mapping file of each candidate</t>
  </si>
  <si>
    <t xml:space="preserve">BMMF-012</t>
  </si>
  <si>
    <t xml:space="preserve">resolved in the UI to m4.csv (READY, m4.csv, E41/Payslip/2024/amb.pdf)</t>
  </si>
  <si>
    <t xml:space="preserve">BMMF-013</t>
  </si>
  <si>
    <t xml:space="preserve">Remove in the UI removes the file</t>
  </si>
  <si>
    <t xml:space="preserve">BMMF-014</t>
  </si>
  <si>
    <t xml:space="preserve">uploading the same file again shows a clear message</t>
  </si>
  <si>
    <t xml:space="preserve">BMMF-015</t>
  </si>
  <si>
    <t xml:space="preserve">no browser errors</t>
  </si>
  <si>
    <t xml:space="preserve">BBE-001</t>
  </si>
  <si>
    <t xml:space="preserve">bulk bar shown on the exceptions view</t>
  </si>
  <si>
    <t xml:space="preserve">BBE-002</t>
  </si>
  <si>
    <t xml:space="preserve">a tick box on each exception row (3 unmapped, 1 missing, 2 invalid)</t>
  </si>
  <si>
    <t xml:space="preserve">BBE-003</t>
  </si>
  <si>
    <t xml:space="preserve">Clear selection appears once something is ticked</t>
  </si>
  <si>
    <t xml:space="preserve">BBE-004</t>
  </si>
  <si>
    <t xml:space="preserve">selection count updates without reloading</t>
  </si>
  <si>
    <t xml:space="preserve">BBE-005</t>
  </si>
  <si>
    <t xml:space="preserve">confirmation names the number of items</t>
  </si>
  <si>
    <t xml:space="preserve">BBE-006</t>
  </si>
  <si>
    <t xml:space="preserve">excluding without a note is refused with a message</t>
  </si>
  <si>
    <t xml:space="preserve">BBE-007</t>
  </si>
  <si>
    <t xml:space="preserve">two ticked rows excluded</t>
  </si>
  <si>
    <t xml:space="preserve">BBE-008</t>
  </si>
  <si>
    <t xml:space="preserve">reason confirmation names the reason</t>
  </si>
  <si>
    <t xml:space="preserve">BBE-009</t>
  </si>
  <si>
    <t xml:space="preserve">whole reason excluded from the reasons list</t>
  </si>
  <si>
    <t xml:space="preserve">BBE-010</t>
  </si>
  <si>
    <t xml:space="preserve">all 1 in the Unmapped view excluded</t>
  </si>
  <si>
    <t xml:space="preserve">BBE-011</t>
  </si>
  <si>
    <t xml:space="preserve">excluded tab shows original status, who and why</t>
  </si>
  <si>
    <t xml:space="preserve">BBE-012</t>
  </si>
  <si>
    <t xml:space="preserve">restore needs no note</t>
  </si>
  <si>
    <t xml:space="preserve">BBE-013</t>
  </si>
  <si>
    <t xml:space="preserve">restore all brings every item back ({"READY":2,"PROCESSED":0,"UNMAPPED":3,"MISSING":1,"AMBIGUOUS":0,"DUPLICATE":0,"INVALID":2,"FAILED":0,"EXCLUDED":0})</t>
  </si>
  <si>
    <t xml:space="preserve">BBE-014</t>
  </si>
  <si>
    <t xml:space="preserve">BMC-001</t>
  </si>
  <si>
    <t xml:space="preserve">Settings has the maker-checker switch</t>
  </si>
  <si>
    <t xml:space="preserve">BMC-002</t>
  </si>
  <si>
    <t xml:space="preserve">switch saved</t>
  </si>
  <si>
    <t xml:space="preserve">BMC-003</t>
  </si>
  <si>
    <t xml:space="preserve">maker sees Submit for approval, not Approve</t>
  </si>
  <si>
    <t xml:space="preserve">BMC-004</t>
  </si>
  <si>
    <t xml:space="preserve">maker sees the job locked and cannot approve</t>
  </si>
  <si>
    <t xml:space="preserve">BMC-005</t>
  </si>
  <si>
    <t xml:space="preserve">no exclude tick boxes while submitted; Withdraw offered to the submitter</t>
  </si>
  <si>
    <t xml:space="preserve">BMC-006</t>
  </si>
  <si>
    <t xml:space="preserve">checker sees Approve and Reject</t>
  </si>
  <si>
    <t xml:space="preserve">BMC-007</t>
  </si>
  <si>
    <t xml:space="preserve">checker cannot withdraw</t>
  </si>
  <si>
    <t xml:space="preserve">BMC-008</t>
  </si>
  <si>
    <t xml:space="preserve">reject without a reason stays open</t>
  </si>
  <si>
    <t xml:space="preserve">BMC-009</t>
  </si>
  <si>
    <t xml:space="preserve">maker sees the rejection reason</t>
  </si>
  <si>
    <t xml:space="preserve">BMC-010</t>
  </si>
  <si>
    <t xml:space="preserve">checker approved in the UI; copy finished</t>
  </si>
  <si>
    <t xml:space="preserve">BMC-011</t>
  </si>
  <si>
    <t xml:space="preserve">after approval the exclude dialog sends a request</t>
  </si>
  <si>
    <t xml:space="preserve">BMC-012</t>
  </si>
  <si>
    <t xml:space="preserve">maker sees the pending request and can only withdraw it</t>
  </si>
  <si>
    <t xml:space="preserve">BMC-013</t>
  </si>
  <si>
    <t xml:space="preserve">checker approved the request in the UI ({"READY":0,"PROCESSED":2,"UNMAPPED":1,"MISSING":0,"AMBIGUOUS":0,"DUPLICATE":0,"INVALID":0,"FAILED":0,"EXCLUDED":1})</t>
  </si>
  <si>
    <t xml:space="preserve">BMC-014</t>
  </si>
  <si>
    <t xml:space="preserve">CARS-001</t>
  </si>
  <si>
    <t xml:space="preserve">Recovery</t>
  </si>
  <si>
    <t xml:space="preserve">signed-in sessions survive a restart with the same DOCORG_ADMIN_PASSWORD (200)</t>
  </si>
  <si>
    <t xml:space="preserve">CARS-002</t>
  </si>
  <si>
    <t xml:space="preserve">after a crash the job is Paused with a message (Paused: Processing was interrupted by an application restart. Resume to continue; completed files are not copied again.)</t>
  </si>
  <si>
    <t xml:space="preserve">CARS-003</t>
  </si>
  <si>
    <t xml:space="preserve">resumed to the end: {"READY":0,"PROCESSED":3000,"UNMAPPED":0,"MISSING":0,"AMBIGUOUS":0,"DUPLICATE":0,"INVALID":0,"FAILED":0,"EXCLUDED":0} (had 299 before resume)</t>
  </si>
  <si>
    <t xml:space="preserve">CARS-004</t>
  </si>
  <si>
    <t xml:space="preserve">3,000 files at the destination and no half-written files (3000)</t>
  </si>
  <si>
    <t xml:space="preserve">CARS-005</t>
  </si>
  <si>
    <t xml:space="preserve">every copy is identical to its source</t>
  </si>
  <si>
    <t xml:space="preserve">UFVD-001</t>
  </si>
  <si>
    <t xml:space="preserve">Upgrade</t>
  </si>
  <si>
    <t xml:space="preserve">v2.0 uses the hand mapping: E1/HR/2024/u1.pdf</t>
  </si>
  <si>
    <t xml:space="preserve">UFVD-002</t>
  </si>
  <si>
    <t xml:space="preserve">v2.1 shows the old mapping file (["old.csv"])</t>
  </si>
  <si>
    <t xml:space="preserve">UFVD-003</t>
  </si>
  <si>
    <t xml:space="preserve">old scan results kept: Awaiting approval {"READY":2,"PROCESSED":0,"UNMAPPED":1,"MISSING":0,"AMBIGUOUS":0,"DUPLICATE":0,"INVALID":0,"FAILED":0,"EXCLUDED":0}</t>
  </si>
  <si>
    <t xml:space="preserve">UFVD-004</t>
  </si>
  <si>
    <t xml:space="preserve">rescan on v2.1 keeps the hand mapping</t>
  </si>
  <si>
    <t xml:space="preserve">UFVD-005</t>
  </si>
  <si>
    <t xml:space="preserve">adding a second file keeps file 1's hand mapping (Module)</t>
  </si>
  <si>
    <t xml:space="preserve">UFVD-006</t>
  </si>
  <si>
    <t xml:space="preserve">both files used: E1/HR/2024/u1.pdf | E2/HR/2024/u2.pdf | E3/Payslip/2023/u3.pdf</t>
  </si>
  <si>
    <t xml:space="preserve">Checker ID</t>
  </si>
  <si>
    <t xml:space="preserve">Scenario</t>
  </si>
  <si>
    <t xml:space="preserve">Expected</t>
  </si>
  <si>
    <t xml:space="preserve">Actual (latest run)</t>
  </si>
  <si>
    <t xml:space="preserve">Result</t>
  </si>
  <si>
    <t xml:space="preserve">Script</t>
  </si>
  <si>
    <t xml:space="preserve">Checker's review</t>
  </si>
  <si>
    <t xml:space="preserve">Final verdict</t>
  </si>
  <si>
    <t xml:space="preserve">L01</t>
  </si>
  <si>
    <t xml:space="preserve">Per-job lock</t>
  </si>
  <si>
    <t xml:space="preserve">A 60 KB mapping uploaded at 6 KB/s (slow VPN) blocks other changes to the same job</t>
  </si>
  <si>
    <t xml:space="preserve">other users not blocked for the whole upload (or a clear busy message)</t>
  </si>
  <si>
    <t xml:space="preserve">exclude waited 3 ms (200); GET 7 ms; other job 4 ms; upload 200</t>
  </si>
  <si>
    <t xml:space="preserve">break2.mjs</t>
  </si>
  <si>
    <t xml:space="preserve">L01b</t>
  </si>
  <si>
    <t xml:space="preserve">Other jobs and reads unaffected by one job's lock</t>
  </si>
  <si>
    <t xml:space="preserve">&lt; 1 s</t>
  </si>
  <si>
    <t xml:space="preserve">GET 7 ms, other job 4 ms</t>
  </si>
  <si>
    <t xml:space="preserve">L02</t>
  </si>
  <si>
    <t xml:space="preserve">Upload that trickles at 300 B/s (stalled client); another user starts a scan</t>
  </si>
  <si>
    <t xml:space="preserve">scan not blocked indefinitely; lock freed when upload aborted</t>
  </si>
  <si>
    <t xml:space="preserve">after 8 s scan still waiting=false; after client abort scan returned 200 in 4 ms</t>
  </si>
  <si>
    <t xml:space="preserve">L03</t>
  </si>
  <si>
    <t xml:space="preserve">Lock released after client aborted mid-upload</t>
  </si>
  <si>
    <t xml:space="preserve">next request immediate</t>
  </si>
  <si>
    <t xml:space="preserve">200 in 4 ms</t>
  </si>
  <si>
    <t xml:space="preserve">L04</t>
  </si>
  <si>
    <t xml:space="preserve">Request aborted while waiting for the lock</t>
  </si>
  <si>
    <t xml:space="preserve">no leaked lock</t>
  </si>
  <si>
    <t xml:space="preserve">next request 400 in 3 ms</t>
  </si>
  <si>
    <t xml:space="preserve">L05</t>
  </si>
  <si>
    <t xml:space="preserve">180 concurrent exclude/restore/GET requests over 6 jobs</t>
  </si>
  <si>
    <t xml:space="preserve">all answered, no 500, counts consistent</t>
  </si>
  <si>
    <t xml:space="preserve">269 ms; codes {"200":162,"400":18}; consistent true</t>
  </si>
  <si>
    <t xml:space="preserve">V01</t>
  </si>
  <si>
    <t xml:space="preserve">Version</t>
  </si>
  <si>
    <t xml:space="preserve">Checker only looks (job, items, report, tree) 8 times</t>
  </si>
  <si>
    <t xml:space="preserve">version stable</t>
  </si>
  <si>
    <t xml:space="preserve">0A411D7C5CA59C16</t>
  </si>
  <si>
    <t xml:space="preserve">V02</t>
  </si>
  <si>
    <t xml:space="preserve">Unrelated settings change while checker reviews</t>
  </si>
  <si>
    <t xml:space="preserve">version unchanged</t>
  </si>
  <si>
    <t xml:space="preserve">0A411D7C5CA59C16 -&gt; 0A411D7C5CA59C16</t>
  </si>
  <si>
    <t xml:space="preserve">V03</t>
  </si>
  <si>
    <t xml:space="preserve">Withdraw changes version; exclude changes version</t>
  </si>
  <si>
    <t xml:space="preserve">all different</t>
  </si>
  <si>
    <t xml:space="preserve">0A411D7C5CA59C16 / 721D515FAB3F4DD7 / 721D515FAB3F4DD7</t>
  </si>
  <si>
    <t xml:space="preserve">FAIL</t>
  </si>
  <si>
    <t xml:space="preserve">Mistake in the checker's script (short note value); version change verified by ver2.mjs</t>
  </si>
  <si>
    <t xml:space="preserve">Not a defect</t>
  </si>
  <si>
    <t xml:space="preserve">V04</t>
  </si>
  <si>
    <t xml:space="preserve">Exclude X, restore X, exclude Y (same status): different exclusions, same counts</t>
  </si>
  <si>
    <t xml:space="preserve">version changes (what was excluded differs)</t>
  </si>
  <si>
    <t xml:space="preserve">721D515FAB3F4DD7 vs 721D515FAB3F4DD7</t>
  </si>
  <si>
    <t xml:space="preserve">Info: the version follows counts; the set of files copied is unchanged</t>
  </si>
  <si>
    <t xml:space="preserve">Accepted</t>
  </si>
  <si>
    <t xml:space="preserve">V05</t>
  </si>
  <si>
    <t xml:space="preserve">Resolve ambiguous changes version</t>
  </si>
  <si>
    <t xml:space="preserve">changes</t>
  </si>
  <si>
    <t xml:space="preserve">721D515FAB3F4DD7 -&gt; 588DA7BC76B16BB2</t>
  </si>
  <si>
    <t xml:space="preserve">V06</t>
  </si>
  <si>
    <t xml:space="preserve">Approve with stale version</t>
  </si>
  <si>
    <t xml:space="preserve">409</t>
  </si>
  <si>
    <t xml:space="preserve">409 The job has changed since you opened it (it was rescanned, resubmitted or its exceptions changed). R</t>
  </si>
  <si>
    <t xml:space="preserve">V07</t>
  </si>
  <si>
    <t xml:space="preserve">Approve with a made-up version</t>
  </si>
  <si>
    <t xml:space="preserve">V08</t>
  </si>
  <si>
    <t xml:space="preserve">Approve with empty version string (API client)</t>
  </si>
  <si>
    <t xml:space="preserve">400/409 (version required with maker-checker)</t>
  </si>
  <si>
    <t xml:space="preserve">400 Maker-checker is on: send the version of the job you reviewed ("version" from GET /api/jobs/{id}).</t>
  </si>
  <si>
    <t xml:space="preserve">V09</t>
  </si>
  <si>
    <t xml:space="preserve">Approve with no version field at all</t>
  </si>
  <si>
    <t xml:space="preserve">refused when maker-checker on (otherwise the stale-tab check is optional)</t>
  </si>
  <si>
    <t xml:space="preserve">200 {"started":true}</t>
  </si>
  <si>
    <t xml:space="preserve">The checker's helper filled in the version automatically; n3.mjs (no version) refused as required</t>
  </si>
  <si>
    <t xml:space="preserve">V10</t>
  </si>
  <si>
    <t xml:space="preserve">Approve with current version</t>
  </si>
  <si>
    <t xml:space="preserve">200</t>
  </si>
  <si>
    <t xml:space="preserve">Mistake in the checker's script (lower-case version); verified by ver2.mjs V10</t>
  </si>
  <si>
    <t xml:space="preserve">S01</t>
  </si>
  <si>
    <t xml:space="preserve">Settings</t>
  </si>
  <si>
    <t xml:space="preserve">Misspelt key {"requireSecondApproval": false}</t>
  </si>
  <si>
    <t xml:space="preserve">400 unknown setting (admin thinks it changed)</t>
  </si>
  <si>
    <t xml:space="preserve">400 Unknown setting: requireSecondApproval.; requireSecondApprover still true</t>
  </si>
  <si>
    <t xml:space="preserve">S02</t>
  </si>
  <si>
    <t xml:space="preserve">null value</t>
  </si>
  <si>
    <t xml:space="preserve">400</t>
  </si>
  <si>
    <t xml:space="preserve">400 Setting requireSecondApprover has an invalid value.</t>
  </si>
  <si>
    <t xml:space="preserve">S03</t>
  </si>
  <si>
    <t xml:space="preserve">Keys in other case</t>
  </si>
  <si>
    <t xml:space="preserve">applied</t>
  </si>
  <si>
    <t xml:space="preserve">200 {"allowOverwrite":false,"maxParallelCopies":9,"jobRetentionDays":365,"auditRetentionDays":2555,"loca; rsa false, par 9</t>
  </si>
  <si>
    <t xml:space="preserve">S04</t>
  </si>
  <si>
    <t xml:space="preserve">String "true" for a boolean</t>
  </si>
  <si>
    <t xml:space="preserve">S05</t>
  </si>
  <si>
    <t xml:space="preserve">maxParallelCopies 1,000,000</t>
  </si>
  <si>
    <t xml:space="preserve">clamped to 64</t>
  </si>
  <si>
    <t xml:space="preserve">200 {"allowOverwrite":false,"maxParallelCopies":64,"jobRetentionDays":365,"auditRetentionDays":2555,"loc -&gt; 64</t>
  </si>
  <si>
    <t xml:space="preserve">S06</t>
  </si>
  <si>
    <t xml:space="preserve">Array body</t>
  </si>
  <si>
    <t xml:space="preserve">400 null</t>
  </si>
  <si>
    <t xml:space="preserve">S07</t>
  </si>
  <si>
    <t xml:space="preserve">Fractional number for an integer</t>
  </si>
  <si>
    <t xml:space="preserve">400 Setting maxParallelCopies has an invalid value.</t>
  </si>
  <si>
    <t xml:space="preserve">S08</t>
  </si>
  <si>
    <t xml:space="preserve">Operator partial PUT</t>
  </si>
  <si>
    <t xml:space="preserve">403</t>
  </si>
  <si>
    <t xml:space="preserve">403 null</t>
  </si>
  <si>
    <t xml:space="preserve">D01</t>
  </si>
  <si>
    <t xml:space="preserve">Dots rule</t>
  </si>
  <si>
    <t xml:space="preserve">Employee name "Pvt. Ltd." (not in template)</t>
  </si>
  <si>
    <t xml:space="preserve">READY</t>
  </si>
  <si>
    <t xml:space="preserve">READY E1/Offer/HR/2024/p1.pdf</t>
  </si>
  <si>
    <t xml:space="preserve">D02</t>
  </si>
  <si>
    <t xml:space="preserve">Employee code "A.B."</t>
  </si>
  <si>
    <t xml:space="preserve">READY, folder "A.B"</t>
  </si>
  <si>
    <t xml:space="preserve">READY A.B/Offer/HR/2024/p2.pdf</t>
  </si>
  <si>
    <t xml:space="preserve">D03</t>
  </si>
  <si>
    <t xml:space="preserve">Type "Sr."</t>
  </si>
  <si>
    <t xml:space="preserve">READY, folder "Sr"</t>
  </si>
  <si>
    <t xml:space="preserve">READY E3/Sr/HR/2024/p3.pdf</t>
  </si>
  <si>
    <t xml:space="preserve">D04</t>
  </si>
  <si>
    <t xml:space="preserve">Type "...Report"</t>
  </si>
  <si>
    <t xml:space="preserve">READY E4/...Report/HR/2024/p4.pdf</t>
  </si>
  <si>
    <t xml:space="preserve">D05</t>
  </si>
  <si>
    <t xml:space="preserve">Employee name "." not used in template</t>
  </si>
  <si>
    <t xml:space="preserve">READY (not a false positive)</t>
  </si>
  <si>
    <t xml:space="preserve">READY E5/Offer/HR/2024/p5.pdf</t>
  </si>
  <si>
    <t xml:space="preserve">D06</t>
  </si>
  <si>
    <t xml:space="preserve">Document name " . " not used in template</t>
  </si>
  <si>
    <t xml:space="preserve">READY E6/Offer/HR/2024/p6.pdf</t>
  </si>
  <si>
    <t xml:space="preserve">D07</t>
  </si>
  <si>
    <t xml:space="preserve">Template</t>
  </si>
  <si>
    <t xml:space="preserve">Module code blank, template uses {ModuleCode}</t>
  </si>
  <si>
    <t xml:space="preserve">INVALID or reported (else folder level silently missing)</t>
  </si>
  <si>
    <t xml:space="preserve">INVALID Mapping record D7: ModuleCode is blank, but the fo</t>
  </si>
  <si>
    <t xml:space="preserve">D08</t>
  </si>
  <si>
    <t xml:space="preserve">Module code "-" (placeholder), template uses {ModuleCode}</t>
  </si>
  <si>
    <t xml:space="preserve">INVALID or reported</t>
  </si>
  <si>
    <t xml:space="preserve">INVALID Mapping record D8: ModuleCode is blank, but the fo</t>
  </si>
  <si>
    <t xml:space="preserve">D09</t>
  </si>
  <si>
    <t xml:space="preserve">Employee code "E9." (trailing dot)</t>
  </si>
  <si>
    <t xml:space="preserve">READY, folder E9 (note: E9 and E9. merge)</t>
  </si>
  <si>
    <t xml:space="preserve">READY E9/Offer/HR/2024/p9.pdf</t>
  </si>
  <si>
    <t xml:space="preserve">N01</t>
  </si>
  <si>
    <t xml:space="preserve">Source/destination</t>
  </si>
  <si>
    <t xml:space="preserve">Sibling with common prefix: src data/src, dst data2</t>
  </si>
  <si>
    <t xml:space="preserve">accepted</t>
  </si>
  <si>
    <t xml:space="preserve">200 {"id":"JOB-20261023-0020","sourceCheck":"Read access confirmed for /tmp/claude-0/checker/b2/loc/data</t>
  </si>
  <si>
    <t xml:space="preserve">N02</t>
  </si>
  <si>
    <t xml:space="preserve">Sibling folder "data" vs dest "Data" on Linux (different folders)</t>
  </si>
  <si>
    <t xml:space="preserve">N03</t>
  </si>
  <si>
    <t xml:space="preserve">Destination with trailing slashes and //</t>
  </si>
  <si>
    <t xml:space="preserve">N04</t>
  </si>
  <si>
    <t xml:space="preserve">Destination = parent of source with trailing slash</t>
  </si>
  <si>
    <t xml:space="preserve">refused</t>
  </si>
  <si>
    <t xml:space="preserve">400 Source folder cannot be inside the destination folder (copies could be written into the source).</t>
  </si>
  <si>
    <t xml:space="preserve">N05</t>
  </si>
  <si>
    <t xml:space="preserve">Destination = symlink to the parent of the source</t>
  </si>
  <si>
    <t xml:space="preserve">N06</t>
  </si>
  <si>
    <t xml:space="preserve">Source given via .. resolves inside destination</t>
  </si>
  <si>
    <t xml:space="preserve">SS01</t>
  </si>
  <si>
    <t xml:space="preserve">Sessions</t>
  </si>
  <si>
    <t xml:space="preserve">Second tab with the same cookie</t>
  </si>
  <si>
    <t xml:space="preserve">SS02</t>
  </si>
  <si>
    <t xml:space="preserve">Logging out in browser 2 keeps browser 1 signed in</t>
  </si>
  <si>
    <t xml:space="preserve">SS03</t>
  </si>
  <si>
    <t xml:space="preserve">Password change: this browser stays, other browser signed out</t>
  </si>
  <si>
    <t xml:space="preserve">200 / 401</t>
  </si>
  <si>
    <t xml:space="preserve">200 Password changed.; this 200; other 401</t>
  </si>
  <si>
    <t xml:space="preserve">SS04</t>
  </si>
  <si>
    <t xml:space="preserve">Old cookie of the same browser tab (before password change)</t>
  </si>
  <si>
    <t xml:space="preserve">401 (tabs share the new cookie in a real browser)</t>
  </si>
  <si>
    <t xml:space="preserve">401</t>
  </si>
  <si>
    <t xml:space="preserve">SS05</t>
  </si>
  <si>
    <t xml:space="preserve">Admin resets the user's password</t>
  </si>
  <si>
    <t xml:space="preserve">user signed out</t>
  </si>
  <si>
    <t xml:space="preserve">SS06</t>
  </si>
  <si>
    <t xml:space="preserve">App restarted (DOCORG_ADMIN_PASSWORD set, as in the install guide): existing sessions</t>
  </si>
  <si>
    <t xml:space="preserve">still signed in (restart is not a password change)</t>
  </si>
  <si>
    <t xml:space="preserve">admin 200; operator 200</t>
  </si>
  <si>
    <t xml:space="preserve">SS07</t>
  </si>
  <si>
    <t xml:space="preserve">5 wrong passwords then right one (same IP)</t>
  </si>
  <si>
    <t xml:space="preserve">401 blocked from this computer</t>
  </si>
  <si>
    <t xml:space="preserve">401 Too many failed attempts from this computer. Try again after 06:47.</t>
  </si>
  <si>
    <t xml:space="preserve">C1-AzureBlob</t>
  </si>
  <si>
    <t xml:space="preserve">Source/destination (cloud)</t>
  </si>
  <si>
    <t xml:space="preserve">AzureBlob: prefix hr vs hr2 (siblings)</t>
  </si>
  <si>
    <t xml:space="preserve">200 {"id":"JOB-20261023-0020","sourceCheck":"List and read access confirmed for Azurite/employee-documen</t>
  </si>
  <si>
    <t xml:space="preserve">C2-AzureBlob</t>
  </si>
  <si>
    <t xml:space="preserve">AzureBlob: destination prefix hr/out inside source hr</t>
  </si>
  <si>
    <t xml:space="preserve">400 Destination prefix cannot be inside the source prefix.</t>
  </si>
  <si>
    <t xml:space="preserve">C3-AzureBlob</t>
  </si>
  <si>
    <t xml:space="preserve">AzureBlob: source hr/ inside destination container root ""</t>
  </si>
  <si>
    <t xml:space="preserve">400 Source prefix cannot be inside the destination prefix (copies could be written into the source).</t>
  </si>
  <si>
    <t xml:space="preserve">C4-AzureBlob</t>
  </si>
  <si>
    <t xml:space="preserve">AzureBlob: source "/hr/" vs destination "hr" (leading slash)</t>
  </si>
  <si>
    <t xml:space="preserve">400 Destination must be different from the source.</t>
  </si>
  <si>
    <t xml:space="preserve">C5-AzureBlob</t>
  </si>
  <si>
    <t xml:space="preserve">AzureBlob: connection name in other case ("azurite") with source hr inside destination ""</t>
  </si>
  <si>
    <t xml:space="preserve">C1-S3</t>
  </si>
  <si>
    <t xml:space="preserve">S3: prefix hr vs hr2 (siblings)</t>
  </si>
  <si>
    <t xml:space="preserve">200 {"id":"JOB-20261023-0020","sourceCheck":"List and read access confirmed for LocalS3/employee-documen</t>
  </si>
  <si>
    <t xml:space="preserve">C2-S3</t>
  </si>
  <si>
    <t xml:space="preserve">S3: destination prefix hr/out inside source hr</t>
  </si>
  <si>
    <t xml:space="preserve">C3-S3</t>
  </si>
  <si>
    <t xml:space="preserve">S3: source hr/ inside destination container root ""</t>
  </si>
  <si>
    <t xml:space="preserve">C4-S3</t>
  </si>
  <si>
    <t xml:space="preserve">S3: source "/hr/" vs destination "hr" (leading slash)</t>
  </si>
  <si>
    <t xml:space="preserve">C5-S3</t>
  </si>
  <si>
    <t xml:space="preserve">S3: connection name in other case ("locals3") with source hr inside destination ""</t>
  </si>
  <si>
    <t xml:space="preserve">SC01</t>
  </si>
  <si>
    <t xml:space="preserve">Mapping</t>
  </si>
  <si>
    <t xml:space="preserve">File name cell "NULL" placeholder</t>
  </si>
  <si>
    <t xml:space="preserve">INVALID blank file name</t>
  </si>
  <si>
    <t xml:space="preserve">INVALID (Blank FileName in mapping record R12.)</t>
  </si>
  <si>
    <t xml:space="preserve">ex.mjs</t>
  </si>
  <si>
    <t xml:space="preserve">SC01b</t>
  </si>
  <si>
    <t xml:space="preserve">EmployeeCode "NULL" placeholder on a missing file</t>
  </si>
  <si>
    <t xml:space="preserve">MISSING (record has no file)</t>
  </si>
  <si>
    <t xml:space="preserve">MISSING (Mapping exists but no source file with this name was found.)</t>
  </si>
  <si>
    <t xml:space="preserve">SC02</t>
  </si>
  <si>
    <t xml:space="preserve">Two files in one cell "x1.pdf; x2.pdf"</t>
  </si>
  <si>
    <t xml:space="preserve">split into R4/1 and R4/2, both READY</t>
  </si>
  <si>
    <t xml:space="preserve">READY E4/Offer/2024/x1.pdf | READY E4/Offer/2024/x2.pdf</t>
  </si>
  <si>
    <t xml:space="preserve">SC03</t>
  </si>
  <si>
    <t xml:space="preserve">Real file name containing a comma</t>
  </si>
  <si>
    <t xml:space="preserve">one READY item</t>
  </si>
  <si>
    <t xml:space="preserve">READY E3/Offer/2024/report, final.pdf</t>
  </si>
  <si>
    <t xml:space="preserve">SC04</t>
  </si>
  <si>
    <t xml:space="preserve">Rules</t>
  </si>
  <si>
    <t xml:space="preserve">Same file named by two records, rule Flag</t>
  </si>
  <si>
    <t xml:space="preserve">AMBIGUOUS</t>
  </si>
  <si>
    <t xml:space="preserve">AMBIGUOUS (2 mapping records match this file (R5, R6). Manual resolutio)</t>
  </si>
  <si>
    <t xml:space="preserve">SC07</t>
  </si>
  <si>
    <t xml:space="preserve">Employee code CON (Windows reserved)</t>
  </si>
  <si>
    <t xml:space="preserve">folder prefixed _CON</t>
  </si>
  <si>
    <t xml:space="preserve">READY _CON/Offer/2024/_CON.pdf</t>
  </si>
  <si>
    <t xml:space="preserve">SC05</t>
  </si>
  <si>
    <t xml:space="preserve">Employee code "." (non-blank, sanitizes to empty)</t>
  </si>
  <si>
    <t xml:space="preserve">INVALID or folder kept (not silently dropped)</t>
  </si>
  <si>
    <t xml:space="preserve">INVALID (Mapping record R8: EmployeeCode '.' cannot be used as a fold)</t>
  </si>
  <si>
    <t xml:space="preserve">SC05b</t>
  </si>
  <si>
    <t xml:space="preserve">Security</t>
  </si>
  <si>
    <t xml:space="preserve">Employee code ".." and type ".." (path traversal)</t>
  </si>
  <si>
    <t xml:space="preserve">no ".." in destination; not READY with missing folders</t>
  </si>
  <si>
    <t xml:space="preserve">INVALID (Mapping record R9: EmployeeCode '..' cannot be used as a fol)</t>
  </si>
  <si>
    <t xml:space="preserve">SC06</t>
  </si>
  <si>
    <t xml:space="preserve">Windows full path in FileName (C:\HR\Docs\win.pdf)</t>
  </si>
  <si>
    <t xml:space="preserve">matched by last segment, READY</t>
  </si>
  <si>
    <t xml:space="preserve">READY E10/Offer/2024/win.pdf</t>
  </si>
  <si>
    <t xml:space="preserve">SC08</t>
  </si>
  <si>
    <t xml:space="preserve">Empty 0-byte file</t>
  </si>
  <si>
    <t xml:space="preserve">INVALID empty</t>
  </si>
  <si>
    <t xml:space="preserve">INVALID (Empty (0-byte) file: unsupported or corrupt.)</t>
  </si>
  <si>
    <t xml:space="preserve">SC09</t>
  </si>
  <si>
    <t xml:space="preserve">Devanagari file name</t>
  </si>
  <si>
    <t xml:space="preserve">READY E14/Offer/2024/नाम.pdf</t>
  </si>
  <si>
    <t xml:space="preserve">SC10</t>
  </si>
  <si>
    <t xml:space="preserve">Case difference case.pdf vs Case.PDF</t>
  </si>
  <si>
    <t xml:space="preserve">READY (case-insensitive)</t>
  </si>
  <si>
    <t xml:space="preserve">READY E15/Offer/2024/Case.PDF</t>
  </si>
  <si>
    <t xml:space="preserve">SC11</t>
  </si>
  <si>
    <t xml:space="preserve">Trailing spaces in code, type, file name</t>
  </si>
  <si>
    <t xml:space="preserve">trimmed, READY, folder E18</t>
  </si>
  <si>
    <t xml:space="preserve">READY E18/Offer/2024/trail.pdf</t>
  </si>
  <si>
    <t xml:space="preserve">SC12</t>
  </si>
  <si>
    <t xml:space="preserve">Relative path in FileName sub/deep.pdf</t>
  </si>
  <si>
    <t xml:space="preserve">READY E19/Offer/2024/deep.pdf</t>
  </si>
  <si>
    <t xml:space="preserve">SC13</t>
  </si>
  <si>
    <t xml:space="preserve">UploadedOn "not a date" with year mandatory</t>
  </si>
  <si>
    <t xml:space="preserve">INVALID year not found</t>
  </si>
  <si>
    <t xml:space="preserve">INVALID (Year could not be determined from UploadedOn.)</t>
  </si>
  <si>
    <t xml:space="preserve">SC14</t>
  </si>
  <si>
    <t xml:space="preserve">NFC name in mapping vs NFD name on disk (café)</t>
  </si>
  <si>
    <t xml:space="preserve">READY (or reported)</t>
  </si>
  <si>
    <t xml:space="preserve">READY E21/Offer/2024/café.pdf</t>
  </si>
  <si>
    <t xml:space="preserve">SC15</t>
  </si>
  <si>
    <t xml:space="preserve">Repeated identical record R1</t>
  </si>
  <si>
    <t xml:space="preserve">second is DUPLICATE</t>
  </si>
  <si>
    <t xml:space="preserve">READY E1/Offer/2024/a.pdf | DUPLICATE (Duplicate mapping record: same file, employee and type as re)</t>
  </si>
  <si>
    <t xml:space="preserve">SC16</t>
  </si>
  <si>
    <t xml:space="preserve">Date 15/02/2023 (dd/mm/yyyy)</t>
  </si>
  <si>
    <t xml:space="preserve">year 2023</t>
  </si>
  <si>
    <t xml:space="preserve">READY E2/Offer/2023/b.pdf</t>
  </si>
  <si>
    <t xml:space="preserve">EX01</t>
  </si>
  <si>
    <t xml:space="preserve">Exclusions</t>
  </si>
  <si>
    <t xml:space="preserve">Exclude ticked ids incl. a READY item</t>
  </si>
  <si>
    <t xml:space="preserve">only the exception excluded</t>
  </si>
  <si>
    <t xml:space="preserve">200 1 item excluded.; ready item now READY</t>
  </si>
  <si>
    <t xml:space="preserve">EX02</t>
  </si>
  <si>
    <t xml:space="preserve">All-in-view with status READY</t>
  </si>
  <si>
    <t xml:space="preserve">400 Items with status READY cannot be excluded.</t>
  </si>
  <si>
    <t xml:space="preserve">EX02b</t>
  </si>
  <si>
    <t xml:space="preserve">All-in-view with status PROCESSED</t>
  </si>
  <si>
    <t xml:space="preserve">400 Items with status PROCESSED cannot be excluded.</t>
  </si>
  <si>
    <t xml:space="preserve">EX06</t>
  </si>
  <si>
    <t xml:space="preserve">Note shorter than 3 chars</t>
  </si>
  <si>
    <t xml:space="preserve">400 Enter a note saying why these items are excluded (it is kept in the reports and audit log).</t>
  </si>
  <si>
    <t xml:space="preserve">EX06b</t>
  </si>
  <si>
    <t xml:space="preserve">Note of 2,000 chars</t>
  </si>
  <si>
    <t xml:space="preserve">accepted, truncated to 500</t>
  </si>
  <si>
    <t xml:space="preserve">200 1 item excluded. len=500</t>
  </si>
  <si>
    <t xml:space="preserve">EX09</t>
  </si>
  <si>
    <t xml:space="preserve">Search text with SQL injection</t>
  </si>
  <si>
    <t xml:space="preserve">400 none match (treated literally), no 500</t>
  </si>
  <si>
    <t xml:space="preserve">400 None of the chosen items can be excluded (only exceptions can).</t>
  </si>
  <si>
    <t xml:space="preserve">EX09b</t>
  </si>
  <si>
    <t xml:space="preserve">Reason group with SQL injection</t>
  </si>
  <si>
    <t xml:space="preserve">200, 0 items</t>
  </si>
  <si>
    <t xml:space="preserve">200 total=0</t>
  </si>
  <si>
    <t xml:space="preserve">EX09c</t>
  </si>
  <si>
    <t xml:space="preserve">Status filter with SQL injection</t>
  </si>
  <si>
    <t xml:space="preserve">EX12</t>
  </si>
  <si>
    <t xml:space="preserve">Search "%" (LIKE wildcard not escaped)</t>
  </si>
  <si>
    <t xml:space="preserve">matches only names containing % (0)</t>
  </si>
  <si>
    <t xml:space="preserve">matched 0 of 9</t>
  </si>
  <si>
    <t xml:space="preserve">EX11</t>
  </si>
  <si>
    <t xml:space="preserve">100,001 ids in one request</t>
  </si>
  <si>
    <t xml:space="preserve">400 Too many items in one request; use "all in this view" instead.</t>
  </si>
  <si>
    <t xml:space="preserve">EX13</t>
  </si>
  <si>
    <t xml:space="preserve">Viewer excludes</t>
  </si>
  <si>
    <t xml:space="preserve">EX03</t>
  </si>
  <si>
    <t xml:space="preserve">Exclude a whole reason group</t>
  </si>
  <si>
    <t xml:space="preserve">0 more excluded (one already)</t>
  </si>
  <si>
    <t xml:space="preserve">200 1 item excluded.</t>
  </si>
  <si>
    <t xml:space="preserve">Mistake in the checker's expectation (reviewed by the checker)</t>
  </si>
  <si>
    <t xml:space="preserve">EX04</t>
  </si>
  <si>
    <t xml:space="preserve">Exclusions remembered after config change and rescan</t>
  </si>
  <si>
    <t xml:space="preserve">2 excluded</t>
  </si>
  <si>
    <t xml:space="preserve">2</t>
  </si>
  <si>
    <t xml:space="preserve">EX05</t>
  </si>
  <si>
    <t xml:space="preserve">Restore a reason group</t>
  </si>
  <si>
    <t xml:space="preserve">UNMAPPED again (2)</t>
  </si>
  <si>
    <t xml:space="preserve">200 2 items restored.; unmapped 2</t>
  </si>
  <si>
    <t xml:space="preserve">EX05b</t>
  </si>
  <si>
    <t xml:space="preserve">Restore again when nothing excluded</t>
  </si>
  <si>
    <t xml:space="preserve">400 None of the chosen items are excluded.</t>
  </si>
  <si>
    <t xml:space="preserve">SC04b</t>
  </si>
  <si>
    <t xml:space="preserve">KeepAll: one file, two records</t>
  </si>
  <si>
    <t xml:space="preserve">2 READY items, E5 and E6 folders</t>
  </si>
  <si>
    <t xml:space="preserve">READY E5/Offer/2024/shared.pdf (File matches 2 mapping records (R5, R6); kept for each (rule) | READY E6/PAN/2024/shared.pdf (File matches 2 mapping records (R5, R6); kept for each (rule)</t>
  </si>
  <si>
    <t xml:space="preserve">EX08</t>
  </si>
  <si>
    <t xml:space="preserve">Exclude while job is Draft (after config change)</t>
  </si>
  <si>
    <t xml:space="preserve">400 Exceptions can be excluded after a scan, while the job is awaiting approval, paused or completed.</t>
  </si>
  <si>
    <t xml:space="preserve">SC04c</t>
  </si>
  <si>
    <t xml:space="preserve">KeepAll copies the shared file twice</t>
  </si>
  <si>
    <t xml:space="preserve">E5/... and E6/... exist</t>
  </si>
  <si>
    <t xml:space="preserve">E5/Offer/2024/shared.pdf, E6/PAN/2024/shared.pdf</t>
  </si>
  <si>
    <t xml:space="preserve">SC17</t>
  </si>
  <si>
    <t xml:space="preserve">Processing</t>
  </si>
  <si>
    <t xml:space="preserve">Destination contains no .partial files and nothing outside template</t>
  </si>
  <si>
    <t xml:space="preserve">clean</t>
  </si>
  <si>
    <t xml:space="preserve">SC18</t>
  </si>
  <si>
    <t xml:space="preserve">Source untouched after copy</t>
  </si>
  <si>
    <t xml:space="preserve">21 files</t>
  </si>
  <si>
    <t xml:space="preserve">21</t>
  </si>
  <si>
    <t xml:space="preserve">EX14</t>
  </si>
  <si>
    <t xml:space="preserve">Exclude every exception after copy</t>
  </si>
  <si>
    <t xml:space="preserve">job becomes Completed</t>
  </si>
  <si>
    <t xml:space="preserve">200 9 items excluded. -&gt; Completed</t>
  </si>
  <si>
    <t xml:space="preserve">EX15</t>
  </si>
  <si>
    <t xml:space="preserve">Restore all after copy</t>
  </si>
  <si>
    <t xml:space="preserve">Completed with exceptions</t>
  </si>
  <si>
    <t xml:space="preserve">SE20</t>
  </si>
  <si>
    <t xml:space="preserve">CSV report: name "=HYPERLINK(...)"</t>
  </si>
  <si>
    <t xml:space="preserve">prefixed with '</t>
  </si>
  <si>
    <t xml:space="preserve">JOB-20261023-0008,R16,map.csv,E16,"'=HYPERLINK(""http://evil"",""x"")",Offer,,,2024-01-01,formula.pdf,/tmp/claude-0/chec</t>
  </si>
  <si>
    <t xml:space="preserve">SE21</t>
  </si>
  <si>
    <t xml:space="preserve">CSV report: name starting with TAB then "="</t>
  </si>
  <si>
    <t xml:space="preserve">neutralised (prefixed with ')</t>
  </si>
  <si>
    <t xml:space="preserve">"JOB-20261023-0008,R17,map.csv,E17,'=1+1,Offer,,,2024-01-01,tab.pdf,/tmp/claude-0"</t>
  </si>
  <si>
    <t xml:space="preserve">SE22</t>
  </si>
  <si>
    <t xml:space="preserve">XLSX report stores cells as text, no formulas</t>
  </si>
  <si>
    <t xml:space="preserve">no &lt;f&gt; elements</t>
  </si>
  <si>
    <t xml:space="preserve">none</t>
  </si>
  <si>
    <t xml:space="preserve">SC19</t>
  </si>
  <si>
    <t xml:space="preserve">Second job into same destination, rule Skip</t>
  </si>
  <si>
    <t xml:space="preserve">all previously copied files DUPLICATE, nothing overwritten</t>
  </si>
  <si>
    <t xml:space="preserve">copyResult {"processed":0,"skipped":16,"failed":0}</t>
  </si>
  <si>
    <t xml:space="preserve">SC20</t>
  </si>
  <si>
    <t xml:space="preserve">Third run, rule CompareHash, identical files</t>
  </si>
  <si>
    <t xml:space="preserve">skipped, no _dup files</t>
  </si>
  <si>
    <t xml:space="preserve">{"processed":0,"skipped":16,"failed":0} dups=0</t>
  </si>
  <si>
    <t xml:space="preserve">SC21</t>
  </si>
  <si>
    <t xml:space="preserve">Change config on approved/completed job (stale tab)</t>
  </si>
  <si>
    <t xml:space="preserve">400 This job has already been approved. Create a new job to change its mapping or rules.</t>
  </si>
  <si>
    <t xml:space="preserve">SC22</t>
  </si>
  <si>
    <t xml:space="preserve">Overwrite rule when admin has not allowed it</t>
  </si>
  <si>
    <t xml:space="preserve">400 Overwrite is not permitted by the administrator.</t>
  </si>
  <si>
    <t xml:space="preserve">SE08</t>
  </si>
  <si>
    <t xml:space="preserve">Mapping upload with file name ../../../../tmp/evil.csv</t>
  </si>
  <si>
    <t xml:space="preserve">stored inside job folder only</t>
  </si>
  <si>
    <t xml:space="preserve">200 {"files":[{"id":"m1","fileName":"map.csv","rows":22,"sha256":"abc1ceae7e0f8b7b2cab85f9ee7dca578777d0; /tmp/evil.csv exists=false; name=map.csv|evil.csv</t>
  </si>
  <si>
    <t xml:space="preserve">SC23</t>
  </si>
  <si>
    <t xml:space="preserve">Upload the same mapping content twice</t>
  </si>
  <si>
    <t xml:space="preserve">400 same content</t>
  </si>
  <si>
    <t xml:space="preserve">400 dup.csv has the same content as evil.csv, which is already added.</t>
  </si>
  <si>
    <t xml:space="preserve">SC24</t>
  </si>
  <si>
    <t xml:space="preserve">Corrupt .xlsx</t>
  </si>
  <si>
    <t xml:space="preserve">400 clear message</t>
  </si>
  <si>
    <t xml:space="preserve">400 bad.xlsx could not be read as Excel (.xlsx) or CSV: Central Directory corrupt.</t>
  </si>
  <si>
    <t xml:space="preserve">SC25</t>
  </si>
  <si>
    <t xml:space="preserve">Wrong extension .exe</t>
  </si>
  <si>
    <t xml:space="preserve">400 Mapping file must be .xlsx or .csv (evil.exe).</t>
  </si>
  <si>
    <t xml:space="preserve">SC26</t>
  </si>
  <si>
    <t xml:space="preserve">Empty CSV</t>
  </si>
  <si>
    <t xml:space="preserve">400 no header</t>
  </si>
  <si>
    <t xml:space="preserve">400 No header row found in empty.csv.</t>
  </si>
  <si>
    <t xml:space="preserve">SC27</t>
  </si>
  <si>
    <t xml:space="preserve">Semicolon-delimited CSV with BOM</t>
  </si>
  <si>
    <t xml:space="preserve">headers detected</t>
  </si>
  <si>
    <t xml:space="preserve">200 {"files":[{"id":"m1","fileName":"map.csv","rows":22,"sha256":"abc1ceae7e0f8b7b2cab85f9ee7dca578777d0 headers=["ID","EmployeeCode","Type","UploadedOn","FileName"]</t>
  </si>
  <si>
    <t xml:space="preserve">SC28</t>
  </si>
  <si>
    <t xml:space="preserve">Windows-1252 CSV with é</t>
  </si>
  <si>
    <t xml:space="preserve">read, no error</t>
  </si>
  <si>
    <t xml:space="preserve">200 {"files":[{"id":"m1","fileName":"map.csv","rows":22,"sha256":"abc1ceae7e0f8b7b2cab85f9ee7dca578777d0 preview=["W1","E1","José","Offer","2024-01-01","a.pdf"]</t>
  </si>
  <si>
    <t xml:space="preserve">SE10</t>
  </si>
  <si>
    <t xml:space="preserve">Destination inside source</t>
  </si>
  <si>
    <t xml:space="preserve">400 Destination folder cannot be inside the source folder.</t>
  </si>
  <si>
    <t xml:space="preserve">SE11</t>
  </si>
  <si>
    <t xml:space="preserve">Destination equals source (trailing slash)</t>
  </si>
  <si>
    <t xml:space="preserve">SE12</t>
  </si>
  <si>
    <t xml:space="preserve">Operator uses server /etc as source (AllowedLocalRoots empty by default)</t>
  </si>
  <si>
    <t xml:space="preserve">documented risk; refused when roots configured</t>
  </si>
  <si>
    <t xml:space="preserve">200 {"id":"JOB-20261023-0012","sourceCheck":"Read access confirmed for /etc (168 entries at the top leve</t>
  </si>
  <si>
    <t xml:space="preserve">SE13</t>
  </si>
  <si>
    <t xml:space="preserve">Destination inside source via ../ path</t>
  </si>
  <si>
    <t xml:space="preserve">N5a</t>
  </si>
  <si>
    <t xml:space="preserve">30 records with blank Document Name, template uses {DocumentName}</t>
  </si>
  <si>
    <t xml:space="preserve">30 INVALID, 10 READY</t>
  </si>
  <si>
    <t xml:space="preserve">{"R":10,"I":30}</t>
  </si>
  <si>
    <t xml:space="preserve">it3.mjs</t>
  </si>
  <si>
    <t xml:space="preserve">N5b</t>
  </si>
  <si>
    <t xml:space="preserve">"Exceptions by reason" for those 30 items</t>
  </si>
  <si>
    <t xml:space="preserve">one reason group (so "Exclude all" by reason works)</t>
  </si>
  <si>
    <t xml:space="preserve">1 groups, e.g. "Blank value used in the folder template"</t>
  </si>
  <si>
    <t xml:space="preserve">N5c</t>
  </si>
  <si>
    <t xml:space="preserve">Reason text for a blank template token</t>
  </si>
  <si>
    <t xml:space="preserve">clear, names the column</t>
  </si>
  <si>
    <t xml:space="preserve">Mapping record N0: DocumentName is blank, but the folder template uses {DocumentName}. Fill it in, or remove the token from the template.</t>
  </si>
  <si>
    <t xml:space="preserve">N4a</t>
  </si>
  <si>
    <t xml:space="preserve">JSON exclude with 100,000 ids sent slowly (10 s); another user excludes meanwhile</t>
  </si>
  <si>
    <t xml:space="preserve">quick request not blocked</t>
  </si>
  <si>
    <t xml:space="preserve">quick 200 in 23 ms; slow 200 {"count":1,"byStatus":{"UNMAPPED":1},"message":"1 item exclu</t>
  </si>
  <si>
    <t xml:space="preserve">N4b</t>
  </si>
  <si>
    <t xml:space="preserve">300,000-row (8.5 MB) xlsx mapping upload; another user acts on the job meanwhile</t>
  </si>
  <si>
    <t xml:space="preserve">upload accepted; other user waits at most the inspection time (&lt; 60 s, no 409)</t>
  </si>
  <si>
    <t xml:space="preserve">upload 200 {"files":[{"id":"m1","fileName":"map.csv","rows":1,"sha256":"a8cfaed73fbce881e924dc1ec3a9b9626ac64c0 in 3378 ms; other request 400 after 1874 ms</t>
  </si>
  <si>
    <t xml:space="preserve">N4c</t>
  </si>
  <si>
    <t xml:space="preserve">Volume / lock</t>
  </si>
  <si>
    <t xml:space="preserve">Long handlers on a 300k-item job: bulk exclude, restore (inside the lock); deep page 6000</t>
  </si>
  <si>
    <t xml:space="preserve">each well under the 60 s lock wait</t>
  </si>
  <si>
    <t xml:space="preserve">scan 11536 ms; exclude 200 300,000 items excluded. 5894 ms; restore 5341 ms; page 6000 728 ms (50 rows)</t>
  </si>
  <si>
    <t xml:space="preserve">N4d</t>
  </si>
  <si>
    <t xml:space="preserve">Volume</t>
  </si>
  <si>
    <t xml:space="preserve">Delete a 300k-item job</t>
  </si>
  <si>
    <t xml:space="preserve">&lt; 30 s</t>
  </si>
  <si>
    <t xml:space="preserve">200 1192 ms</t>
  </si>
  <si>
    <t xml:space="preserve">N2a</t>
  </si>
  <si>
    <t xml:space="preserve">Destination is a folder link to the source's parent</t>
  </si>
  <si>
    <t xml:space="preserve">N2b</t>
  </si>
  <si>
    <t xml:space="preserve">Destination path goes through a linked PARENT folder (…-alias/data = …/data)</t>
  </si>
  <si>
    <t xml:space="preserve">N2c</t>
  </si>
  <si>
    <t xml:space="preserve">Source path goes through a linked parent folder; destination is its real parent</t>
  </si>
  <si>
    <t xml:space="preserve">N6</t>
  </si>
  <si>
    <t xml:space="preserve">Unknown setting name</t>
  </si>
  <si>
    <t xml:space="preserve">400 Unknown setting: requireSecondApproval.</t>
  </si>
  <si>
    <t xml:space="preserve">N6b</t>
  </si>
  <si>
    <t xml:space="preserve">Valid + unknown key in one request</t>
  </si>
  <si>
    <t xml:space="preserve">400 and nothing changed</t>
  </si>
  <si>
    <t xml:space="preserve">400 Unknown setting: bogus.; requireSecondApprover false</t>
  </si>
  <si>
    <t xml:space="preserve">N3a</t>
  </si>
  <si>
    <t xml:space="preserve">Maker-checker on: approve without version</t>
  </si>
  <si>
    <t xml:space="preserve">N3b</t>
  </si>
  <si>
    <t xml:space="preserve">Maker without version gets the maker message first (not a version hint)</t>
  </si>
  <si>
    <t xml:space="preserve">400 Only a validated job awaiting approval can be approved.</t>
  </si>
  <si>
    <t xml:space="preserve">Same helper effect; maker gets the 403 maker message (n3.mjs)</t>
  </si>
  <si>
    <t xml:space="preserve">N3c</t>
  </si>
  <si>
    <t xml:space="preserve">Maker-checker off: approve without version (older scripts)</t>
  </si>
  <si>
    <t xml:space="preserve">F1</t>
  </si>
  <si>
    <t xml:space="preserve">Jobs</t>
  </si>
  <si>
    <t xml:space="preserve">20 jobs created at the same moment by 3 users</t>
  </si>
  <si>
    <t xml:space="preserve">20 distinct ids, no 500</t>
  </si>
  <si>
    <t xml:space="preserve">20 ok, 20 distinct, codes 200</t>
  </si>
  <si>
    <t xml:space="preserve">it4.mjs</t>
  </si>
  <si>
    <t xml:space="preserve">A1</t>
  </si>
  <si>
    <t xml:space="preserve">Same destination (cloud)</t>
  </si>
  <si>
    <t xml:space="preserve">S3: job 1 to prefix "nest/" (template with EmployeeCode), job 2 to "nest/E0/" (template without) — same final objects</t>
  </si>
  <si>
    <t xml:space="preserve">400 PROCESSED in total</t>
  </si>
  <si>
    <t xml:space="preserve">processed 400+398; duplicate 0/2</t>
  </si>
  <si>
    <t xml:space="preserve">Finding F30 (round 4), fixed; round 5 re-run: 400+0 processed, 0 wrong content (it5/it4-A-*.log)</t>
  </si>
  <si>
    <t xml:space="preserve">B1</t>
  </si>
  <si>
    <t xml:space="preserve">Same destination</t>
  </si>
  <si>
    <t xml:space="preserve">Rename rule, 3 jobs, destination written as "/out", "/out/" and a link to it</t>
  </si>
  <si>
    <t xml:space="preserve">1200 files, all PROCESSED, content matches</t>
  </si>
  <si>
    <t xml:space="preserve">processed 400+400+400; duplicate 0/0/0; files 1200; wrong content 0</t>
  </si>
  <si>
    <t xml:space="preserve">C1</t>
  </si>
  <si>
    <t xml:space="preserve">Slot lock</t>
  </si>
  <si>
    <t xml:space="preserve">Pause a job whose copies are waiting for slots held by another job (40 MB files, parallel 2)</t>
  </si>
  <si>
    <t xml:space="preserve">pauses promptly</t>
  </si>
  <si>
    <t xml:space="preserve">200; Paused after 1696 ms; processed so far 15</t>
  </si>
  <si>
    <t xml:space="preserve">C2</t>
  </si>
  <si>
    <t xml:space="preserve">Resume after pause; both jobs finish</t>
  </si>
  <si>
    <t xml:space="preserve">60 files, all PROCESSED, no partial</t>
  </si>
  <si>
    <t xml:space="preserve">processed 30+30; files 60; partial 0</t>
  </si>
  <si>
    <t xml:space="preserve">D1</t>
  </si>
  <si>
    <t xml:space="preserve">Retry-failed of job A runs while job B copies to the same destination (Skip)</t>
  </si>
  <si>
    <t xml:space="preserve">200 PROCESSED in total, content matches</t>
  </si>
  <si>
    <t xml:space="preserve">A 100 (dup 100, failed 0); B 100 (dup 100); wrong content 0</t>
  </si>
  <si>
    <t xml:space="preserve">X1</t>
  </si>
  <si>
    <t xml:space="preserve">Excel</t>
  </si>
  <si>
    <t xml:space="preserve">XLSX with 3 title rows before the header</t>
  </si>
  <si>
    <t xml:space="preserve">header row 4 detected</t>
  </si>
  <si>
    <t xml:space="preserve">200 {"files":[{"id":"m1","fileName":"titled.xlsx","rows":4,"sha256":"a61f3d472e3bcc8210188a56a3940eef6d5 headerRow=3 headers=["ID","EmployeeCode","Type","UploadedOn","FileName"]</t>
  </si>
  <si>
    <t xml:space="preserve">live3.mjs</t>
  </si>
  <si>
    <t xml:space="preserve">X2</t>
  </si>
  <si>
    <t xml:space="preserve">UploadedOn as a real Excel date cell (2021-05-03)</t>
  </si>
  <si>
    <t xml:space="preserve">year 2021</t>
  </si>
  <si>
    <t xml:space="preserve">READY 2021 E1/Offer/2021/x1.pdf</t>
  </si>
  <si>
    <t xml:space="preserve">X3</t>
  </si>
  <si>
    <t xml:space="preserve">UploadedOn as a bare serial number 44927 (=2023-01-01, no date format)</t>
  </si>
  <si>
    <t xml:space="preserve">year 2023 or INVALID with clear reason</t>
  </si>
  <si>
    <t xml:space="preserve">READY 2023 E2/Offer/2023/x2.pdf</t>
  </si>
  <si>
    <t xml:space="preserve">X4</t>
  </si>
  <si>
    <t xml:space="preserve">UploadedOn as a date-only cell 2019-12-31</t>
  </si>
  <si>
    <t xml:space="preserve">year 2019</t>
  </si>
  <si>
    <t xml:space="preserve">READY 2019 E3/Offer/2019/x3.pdf</t>
  </si>
  <si>
    <t xml:space="preserve">X5</t>
  </si>
  <si>
    <t xml:space="preserve">Blank row in the middle of the data</t>
  </si>
  <si>
    <t xml:space="preserve">skipped, rows after it still read</t>
  </si>
  <si>
    <t xml:space="preserve">READY 2022 E4/Offer/2022/x4.pdf</t>
  </si>
  <si>
    <t xml:space="preserve">X6</t>
  </si>
  <si>
    <t xml:space="preserve">Workbook whose first sheet is "Instructions" and data on sheet 2</t>
  </si>
  <si>
    <t xml:space="preserve">data sheet found, or clear message naming the sheet</t>
  </si>
  <si>
    <t xml:space="preserve">200 {"files":[{"id":"m1","fileName":"twosheets.xlsx","rows":1,"sha256":"e4998235f798ff81c981921cd941ff17 headers=["ID","EmployeeCode","Type","UploadedOn","FileName"]</t>
  </si>
  <si>
    <t xml:space="preserve">X7</t>
  </si>
  <si>
    <t xml:space="preserve">CSV</t>
  </si>
  <si>
    <t xml:space="preserve">Quoted line break and escaped quotes inside cells</t>
  </si>
  <si>
    <t xml:space="preserve">both READY</t>
  </si>
  <si>
    <t xml:space="preserve">{"READY":2,"PROCESSED":0,"UNMAPPED":0,"MISSING":0,"AMBIGUOUS":0,"DUPLICATE":0,"INVALID":0,"FAILED":0,"EXCLUDED":0}</t>
  </si>
  <si>
    <t xml:space="preserve">CC1</t>
  </si>
  <si>
    <t xml:space="preserve">Concurrency</t>
  </si>
  <si>
    <t xml:space="preserve">Two jobs copy the same 300 files into the same destination at the same time</t>
  </si>
  <si>
    <t xml:space="preserve">each file copied once; the other job reports it as DUPLICATE; no _dup or partial</t>
  </si>
  <si>
    <t xml:space="preserve">job1 {"processed":69,"skipped":231,"failed":0}, job2 {"processed":231,"skipped":69,"failed":0}; files 300; partial 0; failed 0</t>
  </si>
  <si>
    <t xml:space="preserve">MC40</t>
  </si>
  <si>
    <t xml:space="preserve">Maker-checker</t>
  </si>
  <si>
    <t xml:space="preserve">Maker changes a source file after submit; after approval the maker retries the failed file</t>
  </si>
  <si>
    <t xml:space="preserve">documented: retry copies current version without new approval</t>
  </si>
  <si>
    <t xml:space="preserve">retry 400 There are no failed files to retry.; destination now holds "content changed by maker after submit"</t>
  </si>
  <si>
    <t xml:space="preserve">BIG1</t>
  </si>
  <si>
    <t xml:space="preserve">200,000 mapping records, 2,000 files: scan; exclude 198k MISSING by reason; rescan remembers; xlsx report</t>
  </si>
  <si>
    <t xml:space="preserve">all complete in reasonable time; 198,000 still excluded</t>
  </si>
  <si>
    <t xml:space="preserve">scan 5175 ms; exclude 200 198,000 items excluded. in 4641 ms; rescan 5731 ms -&gt; excluded 198000; report 4069 ms 13207960 B</t>
  </si>
  <si>
    <t xml:space="preserve">BIG2</t>
  </si>
  <si>
    <t xml:space="preserve">Job page and reasons list on a 200k-item job</t>
  </si>
  <si>
    <t xml:space="preserve">&lt; 2 s each</t>
  </si>
  <si>
    <t xml:space="preserve">job 90 ms, reasons 345 ms</t>
  </si>
  <si>
    <t xml:space="preserve">MC01</t>
  </si>
  <si>
    <t xml:space="preserve">Operator tries to turn maker-checker on/off</t>
  </si>
  <si>
    <t xml:space="preserve">mc.mjs</t>
  </si>
  <si>
    <t xml:space="preserve">MC01b</t>
  </si>
  <si>
    <t xml:space="preserve">Viewer tries to change settings</t>
  </si>
  <si>
    <t xml:space="preserve">MC02</t>
  </si>
  <si>
    <t xml:space="preserve">Maker approves without submitting</t>
  </si>
  <si>
    <t xml:space="preserve">400 submit first</t>
  </si>
  <si>
    <t xml:space="preserve">400 Maker-checker is on: submit the job for approval first. A different person then approves i</t>
  </si>
  <si>
    <t xml:space="preserve">MC02b</t>
  </si>
  <si>
    <t xml:space="preserve">Non-maker approves a job that was never submitted</t>
  </si>
  <si>
    <t xml:space="preserve">MC03a</t>
  </si>
  <si>
    <t xml:space="preserve">Maker submits</t>
  </si>
  <si>
    <t xml:space="preserve">200 Submitted. A different person must now approve or reject it.</t>
  </si>
  <si>
    <t xml:space="preserve">MC03</t>
  </si>
  <si>
    <t xml:space="preserve">Submitter approves own job</t>
  </si>
  <si>
    <t xml:space="preserve">403 You prepared or changed this job, so a different person must approve or reject it. People </t>
  </si>
  <si>
    <t xml:space="preserve">MC03b</t>
  </si>
  <si>
    <t xml:space="preserve">Submitter rejects own job</t>
  </si>
  <si>
    <t xml:space="preserve">MC11</t>
  </si>
  <si>
    <t xml:space="preserve">Submit twice</t>
  </si>
  <si>
    <t xml:space="preserve">400 Already submitted by maker72308.</t>
  </si>
  <si>
    <t xml:space="preserve">MC04-config</t>
  </si>
  <si>
    <t xml:space="preserve">Change submitted job via config</t>
  </si>
  <si>
    <t xml:space="preserve">4xx, job unchanged</t>
  </si>
  <si>
    <t xml:space="preserve">400 This job was submitted for approval by maker72308. It cannot be changed until it is approv</t>
  </si>
  <si>
    <t xml:space="preserve">MC04-config_by_non-maker</t>
  </si>
  <si>
    <t xml:space="preserve">Change submitted job via config by non-maker</t>
  </si>
  <si>
    <t xml:space="preserve">MC04-mapping_replace</t>
  </si>
  <si>
    <t xml:space="preserve">Change submitted job via mapping replace</t>
  </si>
  <si>
    <t xml:space="preserve">MC04-mapping_add</t>
  </si>
  <si>
    <t xml:space="preserve">Change submitted job via mapping add</t>
  </si>
  <si>
    <t xml:space="preserve">MC04-mapping_delete</t>
  </si>
  <si>
    <t xml:space="preserve">Change submitted job via mapping delete</t>
  </si>
  <si>
    <t xml:space="preserve">MC04-mapping_demo</t>
  </si>
  <si>
    <t xml:space="preserve">Change submitted job via mapping demo</t>
  </si>
  <si>
    <t xml:space="preserve">MC04-scan</t>
  </si>
  <si>
    <t xml:space="preserve">Change submitted job via scan</t>
  </si>
  <si>
    <t xml:space="preserve">MC04-exclude_ids</t>
  </si>
  <si>
    <t xml:space="preserve">Change submitted job via exclude ids</t>
  </si>
  <si>
    <t xml:space="preserve">MC04-exclude_all-in-view</t>
  </si>
  <si>
    <t xml:space="preserve">Change submitted job via exclude all-in-view</t>
  </si>
  <si>
    <t xml:space="preserve">MC04-restore</t>
  </si>
  <si>
    <t xml:space="preserve">Change submitted job via restore</t>
  </si>
  <si>
    <t xml:space="preserve">MC04-resolve</t>
  </si>
  <si>
    <t xml:space="preserve">Change submitted job via resolve</t>
  </si>
  <si>
    <t xml:space="preserve">MC04-delete_job_(operator_maker)</t>
  </si>
  <si>
    <t xml:space="preserve">Change submitted job via delete job (operator maker)</t>
  </si>
  <si>
    <t xml:space="preserve">403 Only administrators can delete jobs that have been scanned. Operators can delete their own</t>
  </si>
  <si>
    <t xml:space="preserve">MC04-state</t>
  </si>
  <si>
    <t xml:space="preserve">Submitted job state after all lock attempts</t>
  </si>
  <si>
    <t xml:space="preserve">still submitted, same counts</t>
  </si>
  <si>
    <t xml:space="preserve">Awaiting approval sub=maker72308 ready=3</t>
  </si>
  <si>
    <t xml:space="preserve">MC07-approve</t>
  </si>
  <si>
    <t xml:space="preserve">Viewer calls approve</t>
  </si>
  <si>
    <t xml:space="preserve">MC07-reject</t>
  </si>
  <si>
    <t xml:space="preserve">Viewer calls reject</t>
  </si>
  <si>
    <t xml:space="preserve">MC07-withdraw</t>
  </si>
  <si>
    <t xml:space="preserve">Viewer calls withdraw</t>
  </si>
  <si>
    <t xml:space="preserve">MC07-submit</t>
  </si>
  <si>
    <t xml:space="preserve">Viewer calls submit</t>
  </si>
  <si>
    <t xml:space="preserve">MC05a</t>
  </si>
  <si>
    <t xml:space="preserve">Non-submitter operator withdraws</t>
  </si>
  <si>
    <t xml:space="preserve">403 Only the person who submitted it, or an administrator, can withdraw it.</t>
  </si>
  <si>
    <t xml:space="preserve">MC05b</t>
  </si>
  <si>
    <t xml:space="preserve">Checker rejects with too-short reason</t>
  </si>
  <si>
    <t xml:space="preserve">400 Enter the reason for rejecting, so the maker knows what to change.</t>
  </si>
  <si>
    <t xml:space="preserve">MC29</t>
  </si>
  <si>
    <t xml:space="preserve">Checker approves without acknowledge</t>
  </si>
  <si>
    <t xml:space="preserve">400 Confirm that you have reviewed the preview and exceptions.</t>
  </si>
  <si>
    <t xml:space="preserve">MC05c</t>
  </si>
  <si>
    <t xml:space="preserve">Checker rejects with reason; maker sees reason</t>
  </si>
  <si>
    <t xml:space="preserve">unlocked, message has reason</t>
  </si>
  <si>
    <t xml:space="preserve">200 Rejected. The maker sees your reason on the job. | msg=Rejected by checker72308: Fix the ambiguous file sub=null</t>
  </si>
  <si>
    <t xml:space="preserve">MC05d</t>
  </si>
  <si>
    <t xml:space="preserve">Rejecting does not make checker a maker</t>
  </si>
  <si>
    <t xml:space="preserve">makers [maker]</t>
  </si>
  <si>
    <t xml:space="preserve">["maker72308"]</t>
  </si>
  <si>
    <t xml:space="preserve">MC08a</t>
  </si>
  <si>
    <t xml:space="preserve">Admin who excluded items (maker) approves</t>
  </si>
  <si>
    <t xml:space="preserve">MC08b</t>
  </si>
  <si>
    <t xml:space="preserve">Admin withdraws another user's submission</t>
  </si>
  <si>
    <t xml:space="preserve">200 Withdrawn. The job can be changed again.</t>
  </si>
  <si>
    <t xml:space="preserve">MC06a</t>
  </si>
  <si>
    <t xml:space="preserve">Maker logs in with upper-case user name and approves own job</t>
  </si>
  <si>
    <t xml:space="preserve">MC06b</t>
  </si>
  <si>
    <t xml:space="preserve">Create user differing only by case</t>
  </si>
  <si>
    <t xml:space="preserve">400 exists</t>
  </si>
  <si>
    <t xml:space="preserve">400 That user name already exists.</t>
  </si>
  <si>
    <t xml:space="preserve">MC06c</t>
  </si>
  <si>
    <t xml:space="preserve">Submitter withdraws using a different-case login</t>
  </si>
  <si>
    <t xml:space="preserve">MC12</t>
  </si>
  <si>
    <t xml:space="preserve">Submit while setting is off</t>
  </si>
  <si>
    <t xml:space="preserve">400 Maker-checker is off: the job can be approved directly.</t>
  </si>
  <si>
    <t xml:space="preserve">MC10</t>
  </si>
  <si>
    <t xml:space="preserve">Setting turned on after scan; maker approves directly</t>
  </si>
  <si>
    <t xml:space="preserve">MC09a</t>
  </si>
  <si>
    <t xml:space="preserve">Setting turned off while submitted: maker edits config</t>
  </si>
  <si>
    <t xml:space="preserve">documented? (locked or allowed)</t>
  </si>
  <si>
    <t xml:space="preserve">MC09b</t>
  </si>
  <si>
    <t xml:space="preserve">Setting turned off while submitted: maker approves own job</t>
  </si>
  <si>
    <t xml:space="preserve">allowed by design (setting off) – audited</t>
  </si>
  <si>
    <t xml:space="preserve">MC13a</t>
  </si>
  <si>
    <t xml:space="preserve">Checker approves; copy completes</t>
  </si>
  <si>
    <t xml:space="preserve">MC13b</t>
  </si>
  <si>
    <t xml:space="preserve">Exclude after approval creates change request</t>
  </si>
  <si>
    <t xml:space="preserve">pending request, item unchanged</t>
  </si>
  <si>
    <t xml:space="preserve">200 Request sent: 1 item will be excluded when a different person approves it.</t>
  </si>
  <si>
    <t xml:space="preserve">MC13c</t>
  </si>
  <si>
    <t xml:space="preserve">Item not excluded until approval</t>
  </si>
  <si>
    <t xml:space="preserve">2 unmapped</t>
  </si>
  <si>
    <t xml:space="preserve">MC13d</t>
  </si>
  <si>
    <t xml:space="preserve">Requester approves own change request</t>
  </si>
  <si>
    <t xml:space="preserve">403 You made this request, so a different person must approve it.</t>
  </si>
  <si>
    <t xml:space="preserve">MC13e</t>
  </si>
  <si>
    <t xml:space="preserve">Requester (upper-case login) approves own change request</t>
  </si>
  <si>
    <t xml:space="preserve">MC15</t>
  </si>
  <si>
    <t xml:space="preserve">Viewer approves change request</t>
  </si>
  <si>
    <t xml:space="preserve">MC28</t>
  </si>
  <si>
    <t xml:space="preserve">Approve request via another job URL</t>
  </si>
  <si>
    <t xml:space="preserve">404</t>
  </si>
  <si>
    <t xml:space="preserve">404 Request not found.</t>
  </si>
  <si>
    <t xml:space="preserve">MC13f</t>
  </si>
  <si>
    <t xml:space="preserve">6 concurrent approvals of one change request</t>
  </si>
  <si>
    <t xml:space="preserve">exactly 1 succeeds, 1 audit entry</t>
  </si>
  <si>
    <t xml:space="preserve">1 succeeded, 1 audit entries, codes 200,400,400,400,400,400</t>
  </si>
  <si>
    <t xml:space="preserve">MC13g</t>
  </si>
  <si>
    <t xml:space="preserve">Approve an already-approved request</t>
  </si>
  <si>
    <t xml:space="preserve">400 This request is already approved.</t>
  </si>
  <si>
    <t xml:space="preserve">MC13h</t>
  </si>
  <si>
    <t xml:space="preserve">Approved exclusion: excluded_by requester, note has approver</t>
  </si>
  <si>
    <t xml:space="preserve">requester + (approved by)</t>
  </si>
  <si>
    <t xml:space="preserve">maker72308 / scanner test page (approved by checker72308)</t>
  </si>
  <si>
    <t xml:space="preserve">MC13i</t>
  </si>
  <si>
    <t xml:space="preserve">Approve and reject the same request at the same moment</t>
  </si>
  <si>
    <t xml:space="preserve">request status matches item state</t>
  </si>
  <si>
    <t xml:space="preserve">approve 200, reject 400; request Approved; item EXCLUDED</t>
  </si>
  <si>
    <t xml:space="preserve">MC14a</t>
  </si>
  <si>
    <t xml:space="preserve">Reject change request without reason</t>
  </si>
  <si>
    <t xml:space="preserve">400 Enter the reason for rejecting.</t>
  </si>
  <si>
    <t xml:space="preserve">MC14b</t>
  </si>
  <si>
    <t xml:space="preserve">Requester withdraws own request</t>
  </si>
  <si>
    <t xml:space="preserve">Withdrawn</t>
  </si>
  <si>
    <t xml:space="preserve">200 Request withdrawn. -&gt; Withdrawn</t>
  </si>
  <si>
    <t xml:space="preserve">MC14c</t>
  </si>
  <si>
    <t xml:space="preserve">Approve a withdrawn request</t>
  </si>
  <si>
    <t xml:space="preserve">400 This request is already withdrawn.</t>
  </si>
  <si>
    <t xml:space="preserve">MC16a</t>
  </si>
  <si>
    <t xml:space="preserve">Second change request for an item already in a pending request</t>
  </si>
  <si>
    <t xml:space="preserve">refused or flagged</t>
  </si>
  <si>
    <t xml:space="preserve">400 1 of these items are already in pending request 4. Wait for it to be decided, or withdraw </t>
  </si>
  <si>
    <t xml:space="preserve">MC16b</t>
  </si>
  <si>
    <t xml:space="preserve">Approve a request whose items changed since it was made (0 still eligible)</t>
  </si>
  <si>
    <t xml:space="preserve">refused or clearly reported as no-op</t>
  </si>
  <si>
    <t xml:space="preserve">404 null; status undefined; decision "undefined"</t>
  </si>
  <si>
    <t xml:space="preserve">MC21a</t>
  </si>
  <si>
    <t xml:space="preserve">Restore after approval without note creates request</t>
  </si>
  <si>
    <t xml:space="preserve">pending</t>
  </si>
  <si>
    <t xml:space="preserve">200 Request sent: 1 item will be restored when a different person approves it.</t>
  </si>
  <si>
    <t xml:space="preserve">MC21b</t>
  </si>
  <si>
    <t xml:space="preserve">Original maker approves a restore request made by someone else</t>
  </si>
  <si>
    <t xml:space="preserve">allowed (any other person per guide)</t>
  </si>
  <si>
    <t xml:space="preserve">200 Approved. 1 item restored. excluded 3-&gt;2</t>
  </si>
  <si>
    <t xml:space="preserve">MC26a</t>
  </si>
  <si>
    <t xml:space="preserve">Setting off: exclusion applies directly</t>
  </si>
  <si>
    <t xml:space="preserve">200 count</t>
  </si>
  <si>
    <t xml:space="preserve">Mistake in the checker's script (reviewed by the checker)</t>
  </si>
  <si>
    <t xml:space="preserve">MC26b</t>
  </si>
  <si>
    <t xml:space="preserve">Setting off: old pending request still approvable</t>
  </si>
  <si>
    <t xml:space="preserve">info</t>
  </si>
  <si>
    <t xml:space="preserve">200 Approved. 2 items excluded.</t>
  </si>
  <si>
    <t xml:space="preserve">MC17</t>
  </si>
  <si>
    <t xml:space="preserve">Deactivated checker with live session approves</t>
  </si>
  <si>
    <t xml:space="preserve">401 null</t>
  </si>
  <si>
    <t xml:space="preserve">MC18</t>
  </si>
  <si>
    <t xml:space="preserve">Operator demoted to Viewer (live session) approves</t>
  </si>
  <si>
    <t xml:space="preserve">401/403</t>
  </si>
  <si>
    <t xml:space="preserve">MC25</t>
  </si>
  <si>
    <t xml:space="preserve">Maker deactivated after submit; checker approves</t>
  </si>
  <si>
    <t xml:space="preserve">MC30</t>
  </si>
  <si>
    <t xml:space="preserve">Reconciliation xlsx downloads after maker-checker approval</t>
  </si>
  <si>
    <t xml:space="preserve">200 xlsx</t>
  </si>
  <si>
    <t xml:space="preserve">200 4870B</t>
  </si>
  <si>
    <t xml:space="preserve">MC31</t>
  </si>
  <si>
    <t xml:space="preserve">Audit has submit and approval with checker</t>
  </si>
  <si>
    <t xml:space="preserve">Submitted + Processing approved</t>
  </si>
  <si>
    <t xml:space="preserve">Processing approved,Submitted for approval</t>
  </si>
  <si>
    <t xml:space="preserve">MC19</t>
  </si>
  <si>
    <t xml:space="preserve">Submit and config change sent at the same moment (15 tries)</t>
  </si>
  <si>
    <t xml:space="preserve">never a submitted job whose content changed after submit</t>
  </si>
  <si>
    <t xml:space="preserve">0 jobs ended submitted after a rescan</t>
  </si>
  <si>
    <t xml:space="preserve">P01</t>
  </si>
  <si>
    <t xml:space="preserve">Source file changed after scan (folder, hash-while-copying)</t>
  </si>
  <si>
    <t xml:space="preserve">FAILED source changed</t>
  </si>
  <si>
    <t xml:space="preserve">FAILED Source file changed after the scan (ETag mismatch), so it wa</t>
  </si>
  <si>
    <t xml:space="preserve">proc.mjs</t>
  </si>
  <si>
    <t xml:space="preserve">P02</t>
  </si>
  <si>
    <t xml:space="preserve">Source file deleted after scan</t>
  </si>
  <si>
    <t xml:space="preserve">FAILED no longer exists</t>
  </si>
  <si>
    <t xml:space="preserve">FAILED Source file no longer exists.</t>
  </si>
  <si>
    <t xml:space="preserve">P03</t>
  </si>
  <si>
    <t xml:space="preserve">Retry failed: changed file copied, deleted file still missing</t>
  </si>
  <si>
    <t xml:space="preserve">a PROCESSED, b FAILED, stillMissing 1</t>
  </si>
  <si>
    <t xml:space="preserve">200 {"retried":1,"stillMissing":1}; a PROCESSED, b FAILED</t>
  </si>
  <si>
    <t xml:space="preserve">P04</t>
  </si>
  <si>
    <t xml:space="preserve">Hash-while-copying records equal source/destination SHA-256</t>
  </si>
  <si>
    <t xml:space="preserve">equal hashes</t>
  </si>
  <si>
    <t xml:space="preserve">aa7da6b493 / aa7da6b493 Sha256</t>
  </si>
  <si>
    <t xml:space="preserve">P05</t>
  </si>
  <si>
    <t xml:space="preserve">Destination disk fills up during copy</t>
  </si>
  <si>
    <t xml:space="preserve">some PROCESSED, rest FAILED with a clear reason, no .partial files left</t>
  </si>
  <si>
    <t xml:space="preserve">Completed with exceptions; 3 processed, 5 failed: "No space left on device : '/tmp/claude-0/checker/full/out/E3"; partials 0</t>
  </si>
  <si>
    <t xml:space="preserve">P06</t>
  </si>
  <si>
    <t xml:space="preserve">Retry after space is freed (destination emptied)</t>
  </si>
  <si>
    <t xml:space="preserve">job Completed (some files may now be DUPLICATE?)</t>
  </si>
  <si>
    <t xml:space="preserve">200 {"retried":5,"stillMissing":0} -&gt; Completed {"processed":8,"skipped":0,"failed":0}</t>
  </si>
  <si>
    <t xml:space="preserve">LP01</t>
  </si>
  <si>
    <t xml:space="preserve">Live progress</t>
  </si>
  <si>
    <t xml:space="preserve">Copy in progress: live done/total, rate, bytesRate, ETA</t>
  </si>
  <si>
    <t xml:space="preserve">all present and plausible</t>
  </si>
  <si>
    <t xml:space="preserve">null</t>
  </si>
  <si>
    <t xml:space="preserve">Copy finished too fast to observe here; covered by proc2.mjs, which passed</t>
  </si>
  <si>
    <t xml:space="preserve">P07</t>
  </si>
  <si>
    <t xml:space="preserve">App killed (SIGKILL) during copy, restarted</t>
  </si>
  <si>
    <t xml:space="preserve">job Paused with restart message</t>
  </si>
  <si>
    <t xml:space="preserve">Completed: undefined (partials on disk after kill: 0)</t>
  </si>
  <si>
    <t xml:space="preserve">P08</t>
  </si>
  <si>
    <t xml:space="preserve">Resume after crash</t>
  </si>
  <si>
    <t xml:space="preserve">400 PROCESSED, 400 files, no partials, no _dup</t>
  </si>
  <si>
    <t xml:space="preserve">Completed {"READY":0,"PROCESSED":400,"UNMAPPED":0,"MISSING":0,"AMBIGUOUS":0,"DUPLICATE":0,; files 400; partial 0; dup 0</t>
  </si>
  <si>
    <t xml:space="preserve">LP02</t>
  </si>
  <si>
    <t xml:space="preserve">After copy: copyResult and progress</t>
  </si>
  <si>
    <t xml:space="preserve">processed 400</t>
  </si>
  <si>
    <t xml:space="preserve">{"processed":400,"skipped":0,"failed":0} {"done":400,"total":400,"live":false}</t>
  </si>
  <si>
    <t xml:space="preserve">P10</t>
  </si>
  <si>
    <t xml:space="preserve">Two users start a scan of the same job at once</t>
  </si>
  <si>
    <t xml:space="preserve">one 200, one 400</t>
  </si>
  <si>
    <t xml:space="preserve">200/400</t>
  </si>
  <si>
    <t xml:space="preserve">P11</t>
  </si>
  <si>
    <t xml:space="preserve">Two users approve the same job at once</t>
  </si>
  <si>
    <t xml:space="preserve">one 200, one 400; one audit entry</t>
  </si>
  <si>
    <t xml:space="preserve">P11b</t>
  </si>
  <si>
    <t xml:space="preserve">Audit after double approve</t>
  </si>
  <si>
    <t xml:space="preserve">1 "Processing approved"</t>
  </si>
  <si>
    <t xml:space="preserve">1</t>
  </si>
  <si>
    <t xml:space="preserve">P12</t>
  </si>
  <si>
    <t xml:space="preserve">Validation</t>
  </si>
  <si>
    <t xml:space="preserve">Source folder inside destination folder (admin guide: always refused)</t>
  </si>
  <si>
    <t xml:space="preserve">P13</t>
  </si>
  <si>
    <t xml:space="preserve">Pause, then resume</t>
  </si>
  <si>
    <t xml:space="preserve">Completed, 300 processed</t>
  </si>
  <si>
    <t xml:space="preserve">Completed 300</t>
  </si>
  <si>
    <t xml:space="preserve">P14</t>
  </si>
  <si>
    <t xml:space="preserve">20000 files: scan, copy, xlsx report</t>
  </si>
  <si>
    <t xml:space="preserve">all PROCESSED, reasonable times</t>
  </si>
  <si>
    <t xml:space="preserve">scan 1815ms, copy 6539ms, report 735ms 2888736B; processed 20000</t>
  </si>
  <si>
    <t xml:space="preserve">P15</t>
  </si>
  <si>
    <t xml:space="preserve">Search items in a 20k job</t>
  </si>
  <si>
    <t xml:space="preserve">&lt; 2 s</t>
  </si>
  <si>
    <t xml:space="preserve">51ms total=11</t>
  </si>
  <si>
    <t xml:space="preserve">P12b</t>
  </si>
  <si>
    <t xml:space="preserve">Source inside destination + employee code equal to source folder name</t>
  </si>
  <si>
    <t xml:space="preserve">refused; source never modified</t>
  </si>
  <si>
    <t xml:space="preserve">job refused: create job: 400 {"error":"Source folder cannot be inside the destination folder (copies co; source now holds: a.pdf</t>
  </si>
  <si>
    <t xml:space="preserve">proc2.mjs</t>
  </si>
  <si>
    <t xml:space="preserve">{"done":44,"total":500,"bytesDone":184553926,"bytesTotal":2097276750,"copied":44,"skipped":0,"failed":0,"rate":31.8,"bytesRate":133532005,"etaSeconds":15,"elapsedSeconds":1,"live":true}</t>
  </si>
  <si>
    <t xml:space="preserve">LP03</t>
  </si>
  <si>
    <t xml:space="preserve">ETA consistent with bytes left / speed</t>
  </si>
  <si>
    <t xml:space="preserve">~14s</t>
  </si>
  <si>
    <t xml:space="preserve">15s</t>
  </si>
  <si>
    <t xml:space="preserve">LP04</t>
  </si>
  <si>
    <t xml:space="preserve">ETA appears within a few seconds of start</t>
  </si>
  <si>
    <t xml:space="preserve">non-null after &lt;= ~2 s</t>
  </si>
  <si>
    <t xml:space="preserve">first ETA after 10 samples of 14</t>
  </si>
  <si>
    <t xml:space="preserve">Paused: Processing was interrupted by an application restart. Resume to contin; files on disk at kill 49 (partials 1); recorded processed 0</t>
  </si>
  <si>
    <t xml:space="preserve">LP05</t>
  </si>
  <si>
    <t xml:space="preserve">Live progress after resume counts earlier files</t>
  </si>
  <si>
    <t xml:space="preserve">done &gt;= processed before</t>
  </si>
  <si>
    <t xml:space="preserve">{"done":17,"total":500,"bytesDone":71304568,"bytesTotal":2097276750,"copied":17,"skipped":0,"failed":0,"rate":0,"bytesRate":0,"etaSeconds":null,"elapsedSeconds":0,"live":true}</t>
  </si>
  <si>
    <t xml:space="preserve">500 PROCESSED, 500 files, no partials, no _dup; file in flight verified</t>
  </si>
  <si>
    <t xml:space="preserve">Completed processed 500 dup 0 failed 0; files 500; partial 0; _dup 0; verified-on-resume 48</t>
  </si>
  <si>
    <t xml:space="preserve">SE01</t>
  </si>
  <si>
    <t xml:space="preserve">State-changing call without X-DocOrg header (CSRF)</t>
  </si>
  <si>
    <t xml:space="preserve">400 {"error":"Missing X-DocOrg request header."}</t>
  </si>
  <si>
    <t xml:space="preserve">sec.mjs</t>
  </si>
  <si>
    <t xml:space="preserve">SE01b</t>
  </si>
  <si>
    <t xml:space="preserve">Cross-site simple POST to login (text/plain, no header)</t>
  </si>
  <si>
    <t xml:space="preserve">SE02-jobs</t>
  </si>
  <si>
    <t xml:space="preserve">Anonymous GET /api/jobs</t>
  </si>
  <si>
    <t xml:space="preserve">SE02-report</t>
  </si>
  <si>
    <t xml:space="preserve">Anonymous GET /api/jobs/JOB-20261023-0006/report</t>
  </si>
  <si>
    <t xml:space="preserve">SE02-audit</t>
  </si>
  <si>
    <t xml:space="preserve">Anonymous GET /api/audit</t>
  </si>
  <si>
    <t xml:space="preserve">SE02-approve</t>
  </si>
  <si>
    <t xml:space="preserve">Anonymous POST /api/jobs/JOB-20261023-0006/approve</t>
  </si>
  <si>
    <t xml:space="preserve">SE03</t>
  </si>
  <si>
    <t xml:space="preserve">Roles</t>
  </si>
  <si>
    <t xml:space="preserve">Viewer creates a job</t>
  </si>
  <si>
    <t xml:space="preserve">SE03b</t>
  </si>
  <si>
    <t xml:space="preserve">Viewer downloads report</t>
  </si>
  <si>
    <t xml:space="preserve">SE03c</t>
  </si>
  <si>
    <t xml:space="preserve">Viewer lists users</t>
  </si>
  <si>
    <t xml:space="preserve">SE04</t>
  </si>
  <si>
    <t xml:space="preserve">Operator creates an administrator</t>
  </si>
  <si>
    <t xml:space="preserve">SE04b</t>
  </si>
  <si>
    <t xml:space="preserve">Operator promotes self</t>
  </si>
  <si>
    <t xml:space="preserve">SE04c</t>
  </si>
  <si>
    <t xml:space="preserve">Admin demotes self</t>
  </si>
  <si>
    <t xml:space="preserve">400 {"error":"You cannot remove your own administrator access."}</t>
  </si>
  <si>
    <t xml:space="preserve">SE04d</t>
  </si>
  <si>
    <t xml:space="preserve">Admin disables self using upper-case name</t>
  </si>
  <si>
    <t xml:space="preserve">SE04e</t>
  </si>
  <si>
    <t xml:space="preserve">Unknown role</t>
  </si>
  <si>
    <t xml:space="preserve">400 {"error":"Unknown role."}</t>
  </si>
  <si>
    <t xml:space="preserve">SE05</t>
  </si>
  <si>
    <t xml:space="preserve">Operator deletes another operator's scanned job</t>
  </si>
  <si>
    <t xml:space="preserve">403 {"error":"Only administrators can delete jobs that have been scanned. Operators can delete</t>
  </si>
  <si>
    <t xml:space="preserve">SE05b</t>
  </si>
  <si>
    <t xml:space="preserve">Operator deletes another operator's draft job</t>
  </si>
  <si>
    <t xml:space="preserve">SE06</t>
  </si>
  <si>
    <t xml:space="preserve">5 wrong passwords (different case) then right password</t>
  </si>
  <si>
    <t xml:space="preserve">401 locked</t>
  </si>
  <si>
    <t xml:space="preserve">401 {"error":"Too many failed attempts from this computer. Try again after 06:49."}</t>
  </si>
  <si>
    <t xml:space="preserve">SE06b</t>
  </si>
  <si>
    <t xml:space="preserve">Unknown user vs wrong password messages</t>
  </si>
  <si>
    <t xml:space="preserve">same message (no enumeration)</t>
  </si>
  <si>
    <t xml:space="preserve">{"error":"User name or password is incorrect."} vs {"error":"Too many failed attempts from this computer. Try again after 06:49."}</t>
  </si>
  <si>
    <t xml:space="preserve">SE07/..%2fappsettings.json</t>
  </si>
  <si>
    <t xml:space="preserve">GET /..%2fappsettings.json</t>
  </si>
  <si>
    <t xml:space="preserve">not served</t>
  </si>
  <si>
    <t xml:space="preserve">404 </t>
  </si>
  <si>
    <t xml:space="preserve">SE07/%2e%2e/%2e%2e/etc/passwd</t>
  </si>
  <si>
    <t xml:space="preserve">GET /%2e%2e/%2e%2e/etc/passwd</t>
  </si>
  <si>
    <t xml:space="preserve">SE07/data/document-organizer.db</t>
  </si>
  <si>
    <t xml:space="preserve">GET /data/document-organizer.db</t>
  </si>
  <si>
    <t xml:space="preserve">SE07/appsettings.json</t>
  </si>
  <si>
    <t xml:space="preserve">GET /appsettings.json</t>
  </si>
  <si>
    <t xml:space="preserve">SE07/DocumentOrganizer.dll</t>
  </si>
  <si>
    <t xml:space="preserve">GET /DocumentOrganizer.dll</t>
  </si>
  <si>
    <t xml:space="preserve">SE08b</t>
  </si>
  <si>
    <t xml:space="preserve">Job id with ../ in report URL</t>
  </si>
  <si>
    <t xml:space="preserve">404 {"error":"Job not found."}</t>
  </si>
  <si>
    <t xml:space="preserve">SE09</t>
  </si>
  <si>
    <t xml:space="preserve">PUT /settings with only one field</t>
  </si>
  <si>
    <t xml:space="preserve">other settings kept, or 400</t>
  </si>
  <si>
    <t xml:space="preserve">200; requireSecondApprover true, allowOverwrite true</t>
  </si>
  <si>
    <t xml:space="preserve">SE09b</t>
  </si>
  <si>
    <t xml:space="preserve">Viewer reads settings</t>
  </si>
  <si>
    <t xml:space="preserve">200 (no secrets in payload)</t>
  </si>
  <si>
    <t xml:space="preserve">200 {"settings":{"allowOverwrite":false,"maxParallelCopies":8,"jobRetentionDays":365,"auditRet</t>
  </si>
  <si>
    <t xml:space="preserve">SE09c</t>
  </si>
  <si>
    <t xml:space="preserve">GET /api/meta leaks storage secrets?</t>
  </si>
  <si>
    <t xml:space="preserve">no keys or connection strings</t>
  </si>
  <si>
    <t xml:space="preserve">[{"name":"Azurite","provider":"AzureBlob","auth":"Account key (connection string)","endpoint":"http://127.0.0.1:10000/de</t>
  </si>
  <si>
    <t xml:space="preserve">Session cookie flags</t>
  </si>
  <si>
    <t xml:space="preserve">HttpOnly; SameSite=Strict</t>
  </si>
  <si>
    <t xml:space="preserve">docorg.auth=…; path=/; samesite=strict; httponly</t>
  </si>
  <si>
    <t xml:space="preserve">Security headers on UI</t>
  </si>
  <si>
    <t xml:space="preserve">CSP, X-Frame-Options DENY, nosniff</t>
  </si>
  <si>
    <t xml:space="preserve">default-src 'self'; script-src 'self'; s | DENY | nosniff</t>
  </si>
  <si>
    <t xml:space="preserve">Reuse session cookie after logout</t>
  </si>
  <si>
    <t xml:space="preserve">401 (server-side revocation)</t>
  </si>
  <si>
    <t xml:space="preserve">Change password with wrong current password</t>
  </si>
  <si>
    <t xml:space="preserve">400 {"error":"Current password is incorrect."}</t>
  </si>
  <si>
    <t xml:space="preserve">SE14</t>
  </si>
  <si>
    <t xml:space="preserve">Viewer reads audit log (includes IPs, all users)</t>
  </si>
  <si>
    <t xml:space="preserve">200 per role table</t>
  </si>
  <si>
    <t xml:space="preserve">200 total 28</t>
  </si>
  <si>
    <t xml:space="preserve">SE15</t>
  </si>
  <si>
    <t xml:space="preserve">Robustness</t>
  </si>
  <si>
    <t xml:space="preserve">Malformed JSON body</t>
  </si>
  <si>
    <t xml:space="preserve">400 not 500</t>
  </si>
  <si>
    <t xml:space="preserve">SE16</t>
  </si>
  <si>
    <t xml:space="preserve">Non-numeric ids in exclude</t>
  </si>
  <si>
    <t xml:space="preserve">SE17</t>
  </si>
  <si>
    <t xml:space="preserve">Negative page and huge pageSize</t>
  </si>
  <si>
    <t xml:space="preserve">200 clamped</t>
  </si>
  <si>
    <t xml:space="preserve">200 ps=500 pg=1</t>
  </si>
  <si>
    <t xml:space="preserve">DEMO1</t>
  </si>
  <si>
    <t xml:space="preserve">Browser demo</t>
  </si>
  <si>
    <t xml:space="preserve">Load demo data, fill local demo folders, create job</t>
  </si>
  <si>
    <t xml:space="preserve">job page opens</t>
  </si>
  <si>
    <t xml:space="preserve">job JOB-20261023-0001</t>
  </si>
  <si>
    <t xml:space="preserve">ui-demo.mjs</t>
  </si>
  <si>
    <t xml:space="preserve">DEMO2</t>
  </si>
  <si>
    <t xml:space="preserve">Upload demo mapping, keep columns and rules, scan</t>
  </si>
  <si>
    <t xml:space="preserve">Awaiting approval with READY files</t>
  </si>
  <si>
    <t xml:space="preserve">{"READY":458,"PROCESSED":0,"UNMAPPED":7,"MISSING":3,"AMBIGUOUS":2,"DUPLICATE":2,"INVALID":5,"FAILED":0,"EXCLUDED":0}</t>
  </si>
  <si>
    <t xml:space="preserve">DEMO3</t>
  </si>
  <si>
    <t xml:space="preserve">Download validation report from the review step</t>
  </si>
  <si>
    <t xml:space="preserve">xlsx downloaded</t>
  </si>
  <si>
    <t xml:space="preserve">JOB-20261023-0001_validation.xlsx</t>
  </si>
  <si>
    <t xml:space="preserve">DEMO4</t>
  </si>
  <si>
    <t xml:space="preserve">Tick confirmation, approve, copy runs to the end</t>
  </si>
  <si>
    <t xml:space="preserve">Completed (with exceptions)</t>
  </si>
  <si>
    <t xml:space="preserve"> Start copying 458 files? Files are copied to Local · /tmp/c -&gt; Completed with exceptions {"processed":458,"skipped":0,"failed":0}</t>
  </si>
  <si>
    <t xml:space="preserve">DEMO5</t>
  </si>
  <si>
    <t xml:space="preserve">Reconciliation step shows totals and report download</t>
  </si>
  <si>
    <t xml:space="preserve">reconciliation visible</t>
  </si>
  <si>
    <t xml:space="preserve">visible</t>
  </si>
  <si>
    <t xml:space="preserve">DEMO6</t>
  </si>
  <si>
    <t xml:space="preserve">No JavaScript errors</t>
  </si>
  <si>
    <t xml:space="preserve">0</t>
  </si>
  <si>
    <t xml:space="preserve">0 </t>
  </si>
  <si>
    <t xml:space="preserve">UI01</t>
  </si>
  <si>
    <t xml:space="preserve">Security (UI)</t>
  </si>
  <si>
    <t xml:space="preserve">Job name and mapping values with HTML/script (CSP not bypassed)</t>
  </si>
  <si>
    <t xml:space="preserve">shown as text, no element injected, no dialog</t>
  </si>
  <si>
    <t xml:space="preserve">injected elements 0; dialogs 0; page errors 0</t>
  </si>
  <si>
    <t xml:space="preserve">ui.mjs</t>
  </si>
  <si>
    <t xml:space="preserve">UI02</t>
  </si>
  <si>
    <t xml:space="preserve">Maker-checker (UI)</t>
  </si>
  <si>
    <t xml:space="preserve">Maker opens submitted job</t>
  </si>
  <si>
    <t xml:space="preserve">Withdraw shown; no Approve/Reject</t>
  </si>
  <si>
    <t xml:space="preserve">Withdraw</t>
  </si>
  <si>
    <t xml:space="preserve">UI03</t>
  </si>
  <si>
    <t xml:space="preserve">Checker opens submitted job</t>
  </si>
  <si>
    <t xml:space="preserve">Approve and Reject shown, ack says 1 file</t>
  </si>
  <si>
    <t xml:space="preserve">Approve and start copy | Reject…; ack "Copy 1 ready files"</t>
  </si>
  <si>
    <t xml:space="preserve">UI04</t>
  </si>
  <si>
    <t xml:space="preserve">Checker approves from a stale tab after maker withdrew, changed and resubmitted the job</t>
  </si>
  <si>
    <t xml:space="preserve">refused or warned that the job changed since it was opened</t>
  </si>
  <si>
    <t xml:space="preserve">confirm dialog: " Start copying 1 file? Files are copied to Local · /tmp/claude-0/checker/ui/d2 in batches of 5,000 with Sha256"; result Awaiting approval, processed 0</t>
  </si>
  <si>
    <t xml:space="preserve">UI05</t>
  </si>
  <si>
    <t xml:space="preserve">Roles (UI)</t>
  </si>
  <si>
    <t xml:space="preserve">Viewer opens a job awaiting approval</t>
  </si>
  <si>
    <t xml:space="preserve">no Approve/Submit/Exclude buttons</t>
  </si>
  <si>
    <t xml:space="preserve">The checker's regex matched the "Excluded 0" tab (reviewed)</t>
  </si>
  <si>
    <t xml:space="preserve">UI06</t>
  </si>
  <si>
    <t xml:space="preserve">UI</t>
  </si>
  <si>
    <t xml:space="preserve">No JavaScript errors during the browser session</t>
  </si>
  <si>
    <t xml:space="preserve">0: </t>
  </si>
  <si>
    <t xml:space="preserve">UP01</t>
  </si>
  <si>
    <t xml:space="preserve">v2.0 database opens; jobs listed</t>
  </si>
  <si>
    <t xml:space="preserve">2 jobs</t>
  </si>
  <si>
    <t xml:space="preserve">JOB-20261022-0002 Awaiting approval 3; JOB-20261022-0001 Awaiting approval 107799</t>
  </si>
  <si>
    <t xml:space="preserve">upgrade.mjs</t>
  </si>
  <si>
    <t xml:space="preserve">UP02-JOB-20261022-0002</t>
  </si>
  <si>
    <t xml:space="preserve">Old job JOB-20261022-0002 detail</t>
  </si>
  <si>
    <t xml:space="preserve">200 with mappings, makers = creator, version</t>
  </si>
  <si>
    <t xml:space="preserve">200 mappings=1 makers=["admin"] version=339BFC4277C0A851 counts={"READY":2,"PROCESSED":0,"UNMAPPED":1,"MISSING":0,"AMBIGUOUS":0,"DUPLICATE":0,"INVALID":0,</t>
  </si>
  <si>
    <t xml:space="preserve">UP03-JOB-20261022-0002-validation</t>
  </si>
  <si>
    <t xml:space="preserve">Old job JOB-20261022-0002 validation xlsx report</t>
  </si>
  <si>
    <t xml:space="preserve">200 4221 B in 43 ms</t>
  </si>
  <si>
    <t xml:space="preserve">UP03-JOB-20261022-0002-reconciliation</t>
  </si>
  <si>
    <t xml:space="preserve">Old job JOB-20261022-0002 reconciliation csv report</t>
  </si>
  <si>
    <t xml:space="preserve">200 788 B in 7 ms</t>
  </si>
  <si>
    <t xml:space="preserve">UP04-JOB-20261022-0002</t>
  </si>
  <si>
    <t xml:space="preserve">Old job JOB-20261022-0002 items with reason groups</t>
  </si>
  <si>
    <t xml:space="preserve">200 total 1 group "No mapping record"</t>
  </si>
  <si>
    <t xml:space="preserve">UP05-JOB-20261022-0002</t>
  </si>
  <si>
    <t xml:space="preserve">Old job JOB-20261022-0002 change requests list</t>
  </si>
  <si>
    <t xml:space="preserve">200 []</t>
  </si>
  <si>
    <t xml:space="preserve">UP02-JOB-20261022-0001</t>
  </si>
  <si>
    <t xml:space="preserve">Old job JOB-20261022-0001 detail</t>
  </si>
  <si>
    <t xml:space="preserve">200 mappings=1 makers=["admin"] version=E0F8AEFEDC2AED60 counts={"READY":41296,"PROCESSED":0,"UNMAPPED":66502,"MISSING":8351,"AMBIGUOUS":0,"DUPLICATE":14,</t>
  </si>
  <si>
    <t xml:space="preserve">UP03-JOB-20261022-0001-validation</t>
  </si>
  <si>
    <t xml:space="preserve">Old job JOB-20261022-0001 validation xlsx report</t>
  </si>
  <si>
    <t xml:space="preserve">200 9001765 B in 2777 ms</t>
  </si>
  <si>
    <t xml:space="preserve">UP03-JOB-20261022-0001-reconciliation</t>
  </si>
  <si>
    <t xml:space="preserve">Old job JOB-20261022-0001 reconciliation csv report</t>
  </si>
  <si>
    <t xml:space="preserve">200 35511942 B in 1201 ms</t>
  </si>
  <si>
    <t xml:space="preserve">UP04-JOB-20261022-0001</t>
  </si>
  <si>
    <t xml:space="preserve">Old job JOB-20261022-0001 items with reason groups</t>
  </si>
  <si>
    <t xml:space="preserve">200 total 76506 group "Repeated mapping record"</t>
  </si>
  <si>
    <t xml:space="preserve">UP05-JOB-20261022-0001</t>
  </si>
  <si>
    <t xml:space="preserve">Old job JOB-20261022-0001 change requests list</t>
  </si>
  <si>
    <t xml:space="preserve">UP06</t>
  </si>
  <si>
    <t xml:space="preserve">Maker-checker on an old job created by admin: admin submits then approves</t>
  </si>
  <si>
    <t xml:space="preserve">submit 200, approve 403 (creator counts as maker)</t>
  </si>
  <si>
    <t xml:space="preserve">200 / 403 {"error":"You prepared or changed this job, so a different person must approve o</t>
  </si>
  <si>
    <t xml:space="preserve">UP07</t>
  </si>
  <si>
    <t xml:space="preserve">Rescan an old job after upgrade (old column mapping kept)</t>
  </si>
  <si>
    <t xml:space="preserve">Awaiting approval, same counts</t>
  </si>
  <si>
    <t xml:space="preserve">200 -&gt; Awaiting approval; before {"READY":2,"PROCESSED":0,"UNMAPPED":1,"MISSING":0,"AMBIGUOUS":0,"DUPLICATE":0,"I; after {"READY":2,"PROCESSED":0,"UNMAPPED":1,"MISSING":0,"AMBIGUOUS":0,"DUPLICATE":0,"I</t>
  </si>
  <si>
    <t xml:space="preserve">These are the checker's own scenarios from its latest run. Rows the checker reviewed as mistakes in its own script are explained in the Findings sheet notes and the checker reports.</t>
  </si>
  <si>
    <t xml:space="preserve">Finding</t>
  </si>
  <si>
    <t xml:space="preserve">Found in round</t>
  </si>
  <si>
    <t xml:space="preserve">Found by</t>
  </si>
  <si>
    <t xml:space="preserve">Severity</t>
  </si>
  <si>
    <t xml:space="preserve">Problem</t>
  </si>
  <si>
    <t xml:space="preserve">Fix</t>
  </si>
  <si>
    <t xml:space="preserve">Test added (maker)</t>
  </si>
  <si>
    <t xml:space="preserve">Re-verified by checker in round</t>
  </si>
  <si>
    <t xml:space="preserve">Status</t>
  </si>
  <si>
    <t xml:space="preserve">F01</t>
  </si>
  <si>
    <t xml:space="preserve">Checker</t>
  </si>
  <si>
    <t xml:space="preserve">High</t>
  </si>
  <si>
    <t xml:space="preserve">A change sent at the same moment as Submit (mapping upload, rules, scan) could leave a changed job marked as submitted, so the checker approved content they had not reviewed.</t>
  </si>
  <si>
    <t xml:space="preserve">Every change to one job is handled one request at a time; any return to Draft or a new scan clears the submission.</t>
  </si>
  <si>
    <t xml:space="preserve">e2e-makerchecker: submit racing a mapping upload</t>
  </si>
  <si>
    <t xml:space="preserve">F02</t>
  </si>
  <si>
    <t xml:space="preserve">Medium</t>
  </si>
  <si>
    <t xml:space="preserve">Approving from a page opened before the job changed copied the new content (the page said 1 file, 2 were copied).</t>
  </si>
  <si>
    <t xml:space="preserve">Approval carries the version the approver reviewed; a changed job returns 409 "The job has changed since you opened it". "1 files" wording fixed.</t>
  </si>
  <si>
    <t xml:space="preserve">e2e-makerchecker: stale approval refused (409)</t>
  </si>
  <si>
    <t xml:space="preserve">F03</t>
  </si>
  <si>
    <t xml:space="preserve">A source folder inside the destination folder was accepted, and copies could be written into the source.</t>
  </si>
  <si>
    <t xml:space="preserve">Source inside destination is refused (folders and cloud prefixes).</t>
  </si>
  <si>
    <t xml:space="preserve">e2e-live L5</t>
  </si>
  <si>
    <t xml:space="preserve">F04</t>
  </si>
  <si>
    <t xml:space="preserve">Approve and reject (or withdraw) of the same change request could both succeed.</t>
  </si>
  <si>
    <t xml:space="preserve">A decision claims the request (only if still Pending) before acting.</t>
  </si>
  <si>
    <t xml:space="preserve">e2e-makerchecker: approve and reject at the same moment</t>
  </si>
  <si>
    <t xml:space="preserve">F05</t>
  </si>
  <si>
    <t xml:space="preserve">Two simultaneous approvals recorded two approvals in the audit log.</t>
  </si>
  <si>
    <t xml:space="preserve">Per-job lock: the second approval sees the job already copying and is refused before anything is recorded.</t>
  </si>
  <si>
    <t xml:space="preserve">e2e-makerchecker: two approvals at once</t>
  </si>
  <si>
    <t xml:space="preserve">F06</t>
  </si>
  <si>
    <t xml:space="preserve">An employee code or type of only dots (".", "..") silently put files one folder higher.</t>
  </si>
  <si>
    <t xml:space="preserve">Such values make the item INVALID with a clear reason.</t>
  </si>
  <si>
    <t xml:space="preserve">e2e-live L1</t>
  </si>
  <si>
    <t xml:space="preserve">F07</t>
  </si>
  <si>
    <t xml:space="preserve">A second change request for items already in a pending request was accepted.</t>
  </si>
  <si>
    <t xml:space="preserve">Refused, naming the pending request.</t>
  </si>
  <si>
    <t xml:space="preserve">e2e-makerchecker: duplicate request refused</t>
  </si>
  <si>
    <t xml:space="preserve">F08</t>
  </si>
  <si>
    <t xml:space="preserve">Saving one setting through the API reset the others (could silently turn maker-checker off).</t>
  </si>
  <si>
    <t xml:space="preserve">Only the settings sent are changed.</t>
  </si>
  <si>
    <t xml:space="preserve">e2e-security: saving one setting</t>
  </si>
  <si>
    <t xml:space="preserve">F09</t>
  </si>
  <si>
    <t xml:space="preserve">Search treated % and _ as wildcards, so "exclude all in this view" could cover more than intended.</t>
  </si>
  <si>
    <t xml:space="preserve">% and _ are searched for literally.</t>
  </si>
  <si>
    <t xml:space="preserve">e2e-live L7</t>
  </si>
  <si>
    <t xml:space="preserve">F10</t>
  </si>
  <si>
    <t xml:space="preserve">A session cookie kept working after sign-out or a password change.</t>
  </si>
  <si>
    <t xml:space="preserve">Server-side sessions ended by sign-out, password change and password reset.</t>
  </si>
  <si>
    <t xml:space="preserve">e2e-security: sessions</t>
  </si>
  <si>
    <t xml:space="preserve">F11</t>
  </si>
  <si>
    <t xml:space="preserve">Five wrong passwords from anywhere locked any account, including admin.</t>
  </si>
  <si>
    <t xml:space="preserve">Lockout per user name and computer (IP address).</t>
  </si>
  <si>
    <t xml:space="preserve">e2e-security: lockout</t>
  </si>
  <si>
    <t xml:space="preserve">F12</t>
  </si>
  <si>
    <t xml:space="preserve">Maker</t>
  </si>
  <si>
    <t xml:space="preserve">A crash during a copy left half-written ".partial" files at the destination.</t>
  </si>
  <si>
    <t xml:space="preserve">Removed when the copy resumes.</t>
  </si>
  <si>
    <t xml:space="preserve">Crash and resume test</t>
  </si>
  <si>
    <t xml:space="preserve">F13</t>
  </si>
  <si>
    <t xml:space="preserve">Windows device names COM5-9, LPT4-9 and names such as "CON.tar" were not avoided in folder names.</t>
  </si>
  <si>
    <t xml:space="preserve">Prefixed with "_".</t>
  </si>
  <si>
    <t xml:space="preserve">F14</t>
  </si>
  <si>
    <t xml:space="preserve">Reports with more than 1,048,575 items produced a file Excel cannot open.</t>
  </si>
  <si>
    <t xml:space="preserve">Items continue on further sheets.</t>
  </si>
  <si>
    <t xml:space="preserve">e2e-live L8 (DOCORG_XLSX_MAX_ROWS=5)</t>
  </si>
  <si>
    <t xml:space="preserve">F15</t>
  </si>
  <si>
    <t xml:space="preserve">After approval the job stayed "submitted", so exclusions were refused as if it were locked.</t>
  </si>
  <si>
    <t xml:space="preserve">Submission only locks a job that is awaiting approval.</t>
  </si>
  <si>
    <t xml:space="preserve">e2e-makerchecker: change requests after approval</t>
  </si>
  <si>
    <t xml:space="preserve">F16</t>
  </si>
  <si>
    <t xml:space="preserve">Two jobs copying the same file names into the same destination at the same moment could, on Linux and Docker, both report a file as copied while one replaced the other.</t>
  </si>
  <si>
    <t xml:space="preserve">The final step of each copy is locked per destination path; the second job reports the file as already at the destination.</t>
  </si>
  <si>
    <t xml:space="preserve">e2e-live L9</t>
  </si>
  <si>
    <t xml:space="preserve">F17</t>
  </si>
  <si>
    <t xml:space="preserve">With maker-checker on, API approval without a version skipped the stale-page check.</t>
  </si>
  <si>
    <t xml:space="preserve">Version required when maker-checker is on.</t>
  </si>
  <si>
    <t xml:space="preserve">e2e-makerchecker: approval must say which version</t>
  </si>
  <si>
    <t xml:space="preserve">F18</t>
  </si>
  <si>
    <t xml:space="preserve">A slow upload held up other people changing the same job.</t>
  </si>
  <si>
    <t xml:space="preserve">Uploads are received completely before the job is changed; a wait over 60 s is refused as "busy".</t>
  </si>
  <si>
    <t xml:space="preserve">e2e-live L10</t>
  </si>
  <si>
    <t xml:space="preserve">F19</t>
  </si>
  <si>
    <t xml:space="preserve">A blank value for a folder-template token (for example {ModuleCode}) silently removed a folder level.</t>
  </si>
  <si>
    <t xml:space="preserve">Such items are INVALID with a reason.</t>
  </si>
  <si>
    <t xml:space="preserve">e2e-live L1 module</t>
  </si>
  <si>
    <t xml:space="preserve">F20</t>
  </si>
  <si>
    <t xml:space="preserve">Unknown setting names were ignored.</t>
  </si>
  <si>
    <t xml:space="preserve">Refused with "Unknown setting".</t>
  </si>
  <si>
    <t xml:space="preserve">e2e-security</t>
  </si>
  <si>
    <t xml:space="preserve">F21</t>
  </si>
  <si>
    <t xml:space="preserve">Folder links and upper/lower case could slip past the source/destination check; cloud connection names compared case-sensitively.</t>
  </si>
  <si>
    <t xml:space="preserve">Real folder locations, case-aware on Linux; connection names compared without case.</t>
  </si>
  <si>
    <t xml:space="preserve">F22</t>
  </si>
  <si>
    <t xml:space="preserve">Restarting with the same DOCORG_ADMIN_PASSWORD signed the admin out and undid a password changed in the app.</t>
  </si>
  <si>
    <t xml:space="preserve">Applied only when the value changes.</t>
  </si>
  <si>
    <t xml:space="preserve">Crash and resume test: sessions survive restart</t>
  </si>
  <si>
    <t xml:space="preserve">F23</t>
  </si>
  <si>
    <t xml:space="preserve">Two jobs copying the same keys into the same S3 destination at the same moment could overwrite each other while both reported PROCESSED (integrity None) or FAILED (SHA-256).</t>
  </si>
  <si>
    <t xml:space="preserve">Copying to any one destination file is serialised across all jobs, for every storage type.</t>
  </si>
  <si>
    <t xml:space="preserve">e2e-scenarios D: S3 to S3 same keys at once</t>
  </si>
  <si>
    <t xml:space="preserve">F24</t>
  </si>
  <si>
    <t xml:space="preserve">Rename / Compare-hash with two jobs at once could skip a document ("already exists") instead of renaming it.</t>
  </si>
  <si>
    <t xml:space="preserve">Retries with the next free name.</t>
  </si>
  <si>
    <t xml:space="preserve">e2e-live L9b</t>
  </si>
  <si>
    <t xml:space="preserve">F25</t>
  </si>
  <si>
    <t xml:space="preserve">Items with a blank template value got one reason group each, so they could not be excluded together.</t>
  </si>
  <si>
    <t xml:space="preserve">Shared reason group "Blank value used in the folder template".</t>
  </si>
  <si>
    <t xml:space="preserve">F26</t>
  </si>
  <si>
    <t xml:space="preserve">A template token whose column is not mapped was accepted; every item became INVALID after the scan.</t>
  </si>
  <si>
    <t xml:space="preserve">Refused when the rules are saved.</t>
  </si>
  <si>
    <t xml:space="preserve">F27</t>
  </si>
  <si>
    <t xml:space="preserve">Source/destination check followed a link only on the last folder of the path.</t>
  </si>
  <si>
    <t xml:space="preserve">Links followed at every level.</t>
  </si>
  <si>
    <t xml:space="preserve">checker break scripts</t>
  </si>
  <si>
    <t xml:space="preserve">F28</t>
  </si>
  <si>
    <t xml:space="preserve">FAQ said to restart with DOCORG_ADMIN_PASSWORD, but the same value is no longer re-applied, without any message.</t>
  </si>
  <si>
    <t xml:space="preserve">Console message; FAQ updated.</t>
  </si>
  <si>
    <t xml:space="preserve">docs</t>
  </si>
  <si>
    <t xml:space="preserve">F29</t>
  </si>
  <si>
    <t xml:space="preserve">Two jobs created at the same moment could get the same job number; the second failed with an error.</t>
  </si>
  <si>
    <t xml:space="preserve">Job numbers are allocated one at a time (and compared as numbers).</t>
  </si>
  <si>
    <t xml:space="preserve">e2e-live L0</t>
  </si>
  <si>
    <t xml:space="preserve">F30</t>
  </si>
  <si>
    <t xml:space="preserve">Two jobs writing overlapping S3 destinations at once (prefix p/ with folders vs prefix p/E0/) could still overwrite each other with the integrity check off.</t>
  </si>
  <si>
    <t xml:space="preserve">The copy lock is keyed by the final object path, so overlapping destinations share it.</t>
  </si>
  <si>
    <t xml:space="preserve">e2e-scenarios D: overlapping S3 destinations</t>
  </si>
</sst>
</file>

<file path=xl/styles.xml><?xml version="1.0" encoding="utf-8"?>
<styleSheet xmlns="http://schemas.openxmlformats.org/spreadsheetml/2006/main">
  <numFmts count="1">
    <numFmt numFmtId="164" formatCode="General"/>
  </numFmts>
  <fonts count="10">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sz val="11"/>
      <color theme="1"/>
      <name val="Arial"/>
      <family val="0"/>
      <charset val="1"/>
    </font>
    <font>
      <sz val="11"/>
      <name val="Arial"/>
      <family val="0"/>
      <charset val="1"/>
    </font>
    <font>
      <b val="true"/>
      <sz val="11"/>
      <color rgb="FFFFFFFF"/>
      <name val="Arial"/>
      <family val="0"/>
      <charset val="1"/>
    </font>
    <font>
      <b val="true"/>
      <sz val="11"/>
      <name val="Arial"/>
      <family val="0"/>
      <charset val="1"/>
    </font>
    <font>
      <i val="true"/>
      <sz val="11"/>
      <name val="Arial"/>
      <family val="0"/>
      <charset val="1"/>
    </font>
  </fonts>
  <fills count="3">
    <fill>
      <patternFill patternType="none"/>
    </fill>
    <fill>
      <patternFill patternType="gray125"/>
    </fill>
    <fill>
      <patternFill patternType="solid">
        <fgColor rgb="FF1F4E5A"/>
        <bgColor rgb="FF003366"/>
      </patternFill>
    </fill>
  </fills>
  <borders count="2">
    <border diagonalUp="false" diagonalDown="false">
      <left/>
      <right/>
      <top/>
      <bottom/>
      <diagonal/>
    </border>
    <border diagonalUp="false" diagonalDown="false">
      <left style="thin">
        <color rgb="FFC9D3D6"/>
      </left>
      <right style="thin">
        <color rgb="FFC9D3D6"/>
      </right>
      <top style="thin">
        <color rgb="FFC9D3D6"/>
      </top>
      <bottom style="thin">
        <color rgb="FFC9D3D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2" borderId="1" xfId="0" applyFont="true" applyBorder="true" applyAlignment="true" applyProtection="false">
      <alignment horizontal="general" vertical="center"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4E5A"/>
          <bgColor rgb="FF000000"/>
        </patternFill>
      </fill>
    </dxf>
    <dxf>
      <fill>
        <patternFill patternType="solid">
          <bgColor rgb="FF000000"/>
        </patternFill>
      </fill>
    </dxf>
    <dxf>
      <fill>
        <patternFill patternType="solid">
          <fgColor rgb="FFFFFFFF"/>
          <bgColor rgb="FF000000"/>
        </patternFill>
      </fill>
    </dxf>
    <dxf>
      <fill>
        <patternFill patternType="solid">
          <fgColor rgb="FFE2F0E6"/>
          <bgColor rgb="FF000000"/>
        </patternFill>
      </fill>
    </dxf>
    <dxf>
      <fill>
        <patternFill patternType="solid">
          <fgColor rgb="FFEEF2F3"/>
          <bgColor rgb="FF000000"/>
        </patternFill>
      </fill>
    </dxf>
    <dxf>
      <fill>
        <patternFill>
          <bgColor rgb="FFE2F0E6"/>
        </patternFill>
      </fill>
    </dxf>
    <dxf>
      <fill>
        <patternFill>
          <bgColor rgb="FFF8E1DF"/>
        </patternFill>
      </fill>
    </dxf>
    <dxf>
      <fill>
        <patternFill>
          <bgColor rgb="FFEEF2F3"/>
        </patternFill>
      </fill>
    </dxf>
    <dxf>
      <fill>
        <patternFill patternType="solid">
          <fgColor rgb="FFF8E1D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EEF2F3"/>
      <rgbColor rgb="FFE2F0E6"/>
      <rgbColor rgb="FF660066"/>
      <rgbColor rgb="FFFF8080"/>
      <rgbColor rgb="FF0066CC"/>
      <rgbColor rgb="FFC9D3D6"/>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8E1DF"/>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4E5A"/>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4"/>
    <col collapsed="false" customWidth="true" hidden="false" outlineLevel="0" max="2" min="2" style="0" width="10"/>
    <col collapsed="false" customWidth="true" hidden="false" outlineLevel="0" max="4" min="3" style="0" width="12"/>
    <col collapsed="false" customWidth="true" hidden="false" outlineLevel="0" max="5" min="5" style="0" width="13"/>
    <col collapsed="false" customWidth="true" hidden="false" outlineLevel="0" max="6" min="6" style="0" width="20"/>
  </cols>
  <sheetData>
    <row r="1" customFormat="false" ht="17.35" hidden="false" customHeight="false" outlineLevel="0" collapsed="false">
      <c r="A1" s="1" t="s">
        <v>0</v>
      </c>
      <c r="B1" s="2"/>
      <c r="C1" s="2"/>
      <c r="D1" s="2"/>
      <c r="E1" s="2"/>
      <c r="F1" s="2"/>
      <c r="G1" s="2"/>
    </row>
    <row r="2" customFormat="false" ht="45" hidden="false" customHeight="true" outlineLevel="0" collapsed="false">
      <c r="A2" s="3" t="s">
        <v>1</v>
      </c>
      <c r="B2" s="3"/>
      <c r="C2" s="3"/>
      <c r="D2" s="3"/>
      <c r="E2" s="3"/>
      <c r="F2" s="3"/>
      <c r="G2" s="2"/>
    </row>
    <row r="3" customFormat="false" ht="15" hidden="false" customHeight="false" outlineLevel="0" collapsed="false">
      <c r="A3" s="2"/>
      <c r="B3" s="2"/>
      <c r="C3" s="2"/>
      <c r="D3" s="2"/>
      <c r="E3" s="2"/>
      <c r="F3" s="2"/>
      <c r="G3" s="2"/>
    </row>
    <row r="4" customFormat="false" ht="26.85" hidden="false" customHeight="false" outlineLevel="0" collapsed="false">
      <c r="A4" s="4" t="s">
        <v>2</v>
      </c>
      <c r="B4" s="4" t="s">
        <v>3</v>
      </c>
      <c r="C4" s="4" t="s">
        <v>4</v>
      </c>
      <c r="D4" s="4" t="s">
        <v>5</v>
      </c>
      <c r="E4" s="4" t="s">
        <v>6</v>
      </c>
      <c r="F4" s="4" t="s">
        <v>7</v>
      </c>
      <c r="G4" s="2"/>
    </row>
    <row r="5" customFormat="false" ht="15" hidden="false" customHeight="false" outlineLevel="0" collapsed="false">
      <c r="A5" s="5" t="s">
        <v>8</v>
      </c>
      <c r="B5" s="5" t="n">
        <f aca="false">COUNTIF('Test cases'!$B$2:$B$469,"tests/e2e.mjs")</f>
        <v>159</v>
      </c>
      <c r="C5" s="5" t="n">
        <f aca="false">COUNTIFS('Test cases'!$B$2:$B$469,"tests/e2e.mjs",'Test cases'!$E$2:$E$469,"PASS")</f>
        <v>159</v>
      </c>
      <c r="D5" s="5" t="n">
        <f aca="false">COUNTIFS('Test cases'!$B$2:$B$469,"tests/e2e.mjs",'Test cases'!$E$2:$E$469,"FAIL")</f>
        <v>0</v>
      </c>
      <c r="E5" s="5" t="n">
        <f aca="false">COUNTIFS('Test cases'!$B$2:$B$469,"tests/e2e.mjs",'Test cases'!$G$2:$G$469,"PASS")</f>
        <v>159</v>
      </c>
      <c r="F5" s="5" t="n">
        <f aca="false">B5-E5</f>
        <v>0</v>
      </c>
      <c r="G5" s="2"/>
    </row>
    <row r="6" customFormat="false" ht="15" hidden="false" customHeight="false" outlineLevel="0" collapsed="false">
      <c r="A6" s="5" t="s">
        <v>9</v>
      </c>
      <c r="B6" s="5" t="n">
        <f aca="false">COUNTIF('Test cases'!$B$2:$B$469,"tests/e2e-mapping.mjs")</f>
        <v>24</v>
      </c>
      <c r="C6" s="5" t="n">
        <f aca="false">COUNTIFS('Test cases'!$B$2:$B$469,"tests/e2e-mapping.mjs",'Test cases'!$E$2:$E$469,"PASS")</f>
        <v>24</v>
      </c>
      <c r="D6" s="5" t="n">
        <f aca="false">COUNTIFS('Test cases'!$B$2:$B$469,"tests/e2e-mapping.mjs",'Test cases'!$E$2:$E$469,"FAIL")</f>
        <v>0</v>
      </c>
      <c r="E6" s="5" t="n">
        <f aca="false">COUNTIFS('Test cases'!$B$2:$B$469,"tests/e2e-mapping.mjs",'Test cases'!$G$2:$G$469,"PASS")</f>
        <v>24</v>
      </c>
      <c r="F6" s="5" t="n">
        <f aca="false">B6-E6</f>
        <v>0</v>
      </c>
      <c r="G6" s="2"/>
    </row>
    <row r="7" customFormat="false" ht="15" hidden="false" customHeight="false" outlineLevel="0" collapsed="false">
      <c r="A7" s="5" t="s">
        <v>10</v>
      </c>
      <c r="B7" s="5" t="n">
        <f aca="false">COUNTIF('Test cases'!$B$2:$B$469,"tests/e2e-scenarios.mjs")</f>
        <v>90</v>
      </c>
      <c r="C7" s="5" t="n">
        <f aca="false">COUNTIFS('Test cases'!$B$2:$B$469,"tests/e2e-scenarios.mjs",'Test cases'!$E$2:$E$469,"PASS")</f>
        <v>90</v>
      </c>
      <c r="D7" s="5" t="n">
        <f aca="false">COUNTIFS('Test cases'!$B$2:$B$469,"tests/e2e-scenarios.mjs",'Test cases'!$E$2:$E$469,"FAIL")</f>
        <v>0</v>
      </c>
      <c r="E7" s="5" t="n">
        <f aca="false">COUNTIFS('Test cases'!$B$2:$B$469,"tests/e2e-scenarios.mjs",'Test cases'!$G$2:$G$469,"PASS")</f>
        <v>87</v>
      </c>
      <c r="F7" s="5" t="n">
        <f aca="false">B7-E7</f>
        <v>3</v>
      </c>
      <c r="G7" s="2"/>
    </row>
    <row r="8" customFormat="false" ht="15" hidden="false" customHeight="false" outlineLevel="0" collapsed="false">
      <c r="A8" s="5" t="s">
        <v>11</v>
      </c>
      <c r="B8" s="5" t="n">
        <f aca="false">COUNTIF('Test cases'!$B$2:$B$469,"tests/e2e-exclusions.mjs")</f>
        <v>28</v>
      </c>
      <c r="C8" s="5" t="n">
        <f aca="false">COUNTIFS('Test cases'!$B$2:$B$469,"tests/e2e-exclusions.mjs",'Test cases'!$E$2:$E$469,"PASS")</f>
        <v>28</v>
      </c>
      <c r="D8" s="5" t="n">
        <f aca="false">COUNTIFS('Test cases'!$B$2:$B$469,"tests/e2e-exclusions.mjs",'Test cases'!$E$2:$E$469,"FAIL")</f>
        <v>0</v>
      </c>
      <c r="E8" s="5" t="n">
        <f aca="false">COUNTIFS('Test cases'!$B$2:$B$469,"tests/e2e-exclusions.mjs",'Test cases'!$G$2:$G$469,"PASS")</f>
        <v>28</v>
      </c>
      <c r="F8" s="5" t="n">
        <f aca="false">B8-E8</f>
        <v>0</v>
      </c>
      <c r="G8" s="2"/>
    </row>
    <row r="9" customFormat="false" ht="15" hidden="false" customHeight="false" outlineLevel="0" collapsed="false">
      <c r="A9" s="5" t="s">
        <v>12</v>
      </c>
      <c r="B9" s="5" t="n">
        <f aca="false">COUNTIF('Test cases'!$B$2:$B$469,"tests/e2e-makerchecker.mjs")</f>
        <v>45</v>
      </c>
      <c r="C9" s="5" t="n">
        <f aca="false">COUNTIFS('Test cases'!$B$2:$B$469,"tests/e2e-makerchecker.mjs",'Test cases'!$E$2:$E$469,"PASS")</f>
        <v>45</v>
      </c>
      <c r="D9" s="5" t="n">
        <f aca="false">COUNTIFS('Test cases'!$B$2:$B$469,"tests/e2e-makerchecker.mjs",'Test cases'!$E$2:$E$469,"FAIL")</f>
        <v>0</v>
      </c>
      <c r="E9" s="5" t="n">
        <f aca="false">COUNTIFS('Test cases'!$B$2:$B$469,"tests/e2e-makerchecker.mjs",'Test cases'!$G$2:$G$469,"PASS")</f>
        <v>45</v>
      </c>
      <c r="F9" s="5" t="n">
        <f aca="false">B9-E9</f>
        <v>0</v>
      </c>
      <c r="G9" s="2"/>
    </row>
    <row r="10" customFormat="false" ht="15" hidden="false" customHeight="false" outlineLevel="0" collapsed="false">
      <c r="A10" s="5" t="s">
        <v>13</v>
      </c>
      <c r="B10" s="5" t="n">
        <f aca="false">COUNTIF('Test cases'!$B$2:$B$469,"tests/e2e-security.mjs")</f>
        <v>12</v>
      </c>
      <c r="C10" s="5" t="n">
        <f aca="false">COUNTIFS('Test cases'!$B$2:$B$469,"tests/e2e-security.mjs",'Test cases'!$E$2:$E$469,"PASS")</f>
        <v>12</v>
      </c>
      <c r="D10" s="5" t="n">
        <f aca="false">COUNTIFS('Test cases'!$B$2:$B$469,"tests/e2e-security.mjs",'Test cases'!$E$2:$E$469,"FAIL")</f>
        <v>0</v>
      </c>
      <c r="E10" s="5" t="n">
        <f aca="false">COUNTIFS('Test cases'!$B$2:$B$469,"tests/e2e-security.mjs",'Test cases'!$G$2:$G$469,"PASS")</f>
        <v>12</v>
      </c>
      <c r="F10" s="5" t="n">
        <f aca="false">B10-E10</f>
        <v>0</v>
      </c>
      <c r="G10" s="2"/>
    </row>
    <row r="11" customFormat="false" ht="15" hidden="false" customHeight="false" outlineLevel="0" collapsed="false">
      <c r="A11" s="5" t="s">
        <v>14</v>
      </c>
      <c r="B11" s="5" t="n">
        <f aca="false">COUNTIF('Test cases'!$B$2:$B$469,"tests/e2e-live.mjs")</f>
        <v>56</v>
      </c>
      <c r="C11" s="5" t="n">
        <f aca="false">COUNTIFS('Test cases'!$B$2:$B$469,"tests/e2e-live.mjs",'Test cases'!$E$2:$E$469,"PASS")</f>
        <v>56</v>
      </c>
      <c r="D11" s="5" t="n">
        <f aca="false">COUNTIFS('Test cases'!$B$2:$B$469,"tests/e2e-live.mjs",'Test cases'!$E$2:$E$469,"FAIL")</f>
        <v>0</v>
      </c>
      <c r="E11" s="5" t="n">
        <f aca="false">COUNTIFS('Test cases'!$B$2:$B$469,"tests/e2e-live.mjs",'Test cases'!$G$2:$G$469,"PASS")</f>
        <v>56</v>
      </c>
      <c r="F11" s="5" t="n">
        <f aca="false">B11-E11</f>
        <v>0</v>
      </c>
      <c r="G11" s="2"/>
    </row>
    <row r="12" customFormat="false" ht="15" hidden="false" customHeight="false" outlineLevel="0" collapsed="false">
      <c r="A12" s="5" t="s">
        <v>15</v>
      </c>
      <c r="B12" s="5" t="n">
        <f aca="false">COUNTIF('Test cases'!$B$2:$B$469,"Browser: multiple mapping files")</f>
        <v>15</v>
      </c>
      <c r="C12" s="5" t="n">
        <f aca="false">COUNTIFS('Test cases'!$B$2:$B$469,"Browser: multiple mapping files",'Test cases'!$E$2:$E$469,"PASS")</f>
        <v>15</v>
      </c>
      <c r="D12" s="5" t="n">
        <f aca="false">COUNTIFS('Test cases'!$B$2:$B$469,"Browser: multiple mapping files",'Test cases'!$E$2:$E$469,"FAIL")</f>
        <v>0</v>
      </c>
      <c r="E12" s="5" t="n">
        <f aca="false">COUNTIFS('Test cases'!$B$2:$B$469,"Browser: multiple mapping files",'Test cases'!$G$2:$G$469,"PASS")</f>
        <v>0</v>
      </c>
      <c r="F12" s="5" t="n">
        <f aca="false">B12-E12</f>
        <v>15</v>
      </c>
      <c r="G12" s="2"/>
    </row>
    <row r="13" customFormat="false" ht="15" hidden="false" customHeight="false" outlineLevel="0" collapsed="false">
      <c r="A13" s="5" t="s">
        <v>16</v>
      </c>
      <c r="B13" s="5" t="n">
        <f aca="false">COUNTIF('Test cases'!$B$2:$B$469,"Browser: bulk exclusion")</f>
        <v>14</v>
      </c>
      <c r="C13" s="5" t="n">
        <f aca="false">COUNTIFS('Test cases'!$B$2:$B$469,"Browser: bulk exclusion",'Test cases'!$E$2:$E$469,"PASS")</f>
        <v>14</v>
      </c>
      <c r="D13" s="5" t="n">
        <f aca="false">COUNTIFS('Test cases'!$B$2:$B$469,"Browser: bulk exclusion",'Test cases'!$E$2:$E$469,"FAIL")</f>
        <v>0</v>
      </c>
      <c r="E13" s="5" t="n">
        <f aca="false">COUNTIFS('Test cases'!$B$2:$B$469,"Browser: bulk exclusion",'Test cases'!$G$2:$G$469,"PASS")</f>
        <v>0</v>
      </c>
      <c r="F13" s="5" t="n">
        <f aca="false">B13-E13</f>
        <v>14</v>
      </c>
      <c r="G13" s="2"/>
    </row>
    <row r="14" customFormat="false" ht="15" hidden="false" customHeight="false" outlineLevel="0" collapsed="false">
      <c r="A14" s="5" t="s">
        <v>17</v>
      </c>
      <c r="B14" s="5" t="n">
        <f aca="false">COUNTIF('Test cases'!$B$2:$B$469,"Browser: maker-checker")</f>
        <v>14</v>
      </c>
      <c r="C14" s="5" t="n">
        <f aca="false">COUNTIFS('Test cases'!$B$2:$B$469,"Browser: maker-checker",'Test cases'!$E$2:$E$469,"PASS")</f>
        <v>14</v>
      </c>
      <c r="D14" s="5" t="n">
        <f aca="false">COUNTIFS('Test cases'!$B$2:$B$469,"Browser: maker-checker",'Test cases'!$E$2:$E$469,"FAIL")</f>
        <v>0</v>
      </c>
      <c r="E14" s="5" t="n">
        <f aca="false">COUNTIFS('Test cases'!$B$2:$B$469,"Browser: maker-checker",'Test cases'!$G$2:$G$469,"PASS")</f>
        <v>0</v>
      </c>
      <c r="F14" s="5" t="n">
        <f aca="false">B14-E14</f>
        <v>14</v>
      </c>
      <c r="G14" s="2"/>
    </row>
    <row r="15" customFormat="false" ht="15" hidden="false" customHeight="false" outlineLevel="0" collapsed="false">
      <c r="A15" s="5" t="s">
        <v>18</v>
      </c>
      <c r="B15" s="5" t="n">
        <f aca="false">COUNTIF('Test cases'!$B$2:$B$469,"Crash and resume (SIGKILL during copy)")</f>
        <v>5</v>
      </c>
      <c r="C15" s="5" t="n">
        <f aca="false">COUNTIFS('Test cases'!$B$2:$B$469,"Crash and resume (SIGKILL during copy)",'Test cases'!$E$2:$E$469,"PASS")</f>
        <v>5</v>
      </c>
      <c r="D15" s="5" t="n">
        <f aca="false">COUNTIFS('Test cases'!$B$2:$B$469,"Crash and resume (SIGKILL during copy)",'Test cases'!$E$2:$E$469,"FAIL")</f>
        <v>0</v>
      </c>
      <c r="E15" s="5" t="n">
        <f aca="false">COUNTIFS('Test cases'!$B$2:$B$469,"Crash and resume (SIGKILL during copy)",'Test cases'!$G$2:$G$469,"PASS")</f>
        <v>0</v>
      </c>
      <c r="F15" s="5" t="n">
        <f aca="false">B15-E15</f>
        <v>5</v>
      </c>
      <c r="G15" s="2"/>
    </row>
    <row r="16" customFormat="false" ht="15" hidden="false" customHeight="false" outlineLevel="0" collapsed="false">
      <c r="A16" s="5" t="s">
        <v>19</v>
      </c>
      <c r="B16" s="5" t="n">
        <f aca="false">COUNTIF('Test cases'!$B$2:$B$469,"Upgrade from v2.0 database")</f>
        <v>6</v>
      </c>
      <c r="C16" s="5" t="n">
        <f aca="false">COUNTIFS('Test cases'!$B$2:$B$469,"Upgrade from v2.0 database",'Test cases'!$E$2:$E$469,"PASS")</f>
        <v>6</v>
      </c>
      <c r="D16" s="5" t="n">
        <f aca="false">COUNTIFS('Test cases'!$B$2:$B$469,"Upgrade from v2.0 database",'Test cases'!$E$2:$E$469,"FAIL")</f>
        <v>0</v>
      </c>
      <c r="E16" s="5" t="n">
        <f aca="false">COUNTIFS('Test cases'!$B$2:$B$469,"Upgrade from v2.0 database",'Test cases'!$G$2:$G$469,"PASS")</f>
        <v>0</v>
      </c>
      <c r="F16" s="5" t="n">
        <f aca="false">B16-E16</f>
        <v>6</v>
      </c>
      <c r="G16" s="2"/>
    </row>
    <row r="17" customFormat="false" ht="15" hidden="false" customHeight="false" outlineLevel="0" collapsed="false">
      <c r="A17" s="6" t="s">
        <v>20</v>
      </c>
      <c r="B17" s="6" t="n">
        <f aca="false">SUM(B5:B16)</f>
        <v>468</v>
      </c>
      <c r="C17" s="6" t="n">
        <f aca="false">SUM(C5:C16)</f>
        <v>468</v>
      </c>
      <c r="D17" s="6" t="n">
        <f aca="false">SUM(D5:D16)</f>
        <v>0</v>
      </c>
      <c r="E17" s="6" t="n">
        <f aca="false">SUM(E5:E16)</f>
        <v>411</v>
      </c>
      <c r="F17" s="6" t="n">
        <f aca="false">SUM(F5:F16)</f>
        <v>57</v>
      </c>
      <c r="G17" s="2"/>
    </row>
    <row r="18" customFormat="false" ht="15" hidden="false" customHeight="false" outlineLevel="0" collapsed="false">
      <c r="A18" s="2"/>
      <c r="B18" s="2"/>
      <c r="C18" s="2"/>
      <c r="D18" s="2"/>
      <c r="E18" s="2"/>
      <c r="F18" s="2"/>
      <c r="G18" s="2"/>
    </row>
    <row r="19" customFormat="false" ht="15" hidden="false" customHeight="false" outlineLevel="0" collapsed="false">
      <c r="A19" s="5" t="s">
        <v>21</v>
      </c>
      <c r="B19" s="5" t="n">
        <f aca="false">COUNTA('Checker scenarios'!$A$2:$A$296)</f>
        <v>295</v>
      </c>
      <c r="C19" s="5"/>
      <c r="D19" s="5"/>
      <c r="E19" s="5" t="n">
        <f aca="false">COUNTIF('Checker scenarios'!$F$2:$F$296,"PASS")</f>
        <v>283</v>
      </c>
      <c r="F19" s="5" t="n">
        <f aca="false">COUNTIF('Checker scenarios'!$F$2:$F$296,"FAIL")</f>
        <v>12</v>
      </c>
      <c r="G19" s="7" t="s">
        <v>22</v>
      </c>
    </row>
    <row r="20" customFormat="false" ht="15" hidden="false" customHeight="false" outlineLevel="0" collapsed="false">
      <c r="A20" s="5" t="s">
        <v>23</v>
      </c>
      <c r="B20" s="5" t="n">
        <f aca="false">COUNTIF('Checker scenarios'!$I$2:$I$296,"Open")</f>
        <v>0</v>
      </c>
      <c r="C20" s="5"/>
      <c r="D20" s="5"/>
      <c r="E20" s="5"/>
      <c r="F20" s="5"/>
      <c r="G20" s="2"/>
    </row>
    <row r="21" customFormat="false" ht="15" hidden="false" customHeight="false" outlineLevel="0" collapsed="false">
      <c r="A21" s="2"/>
      <c r="B21" s="2"/>
      <c r="C21" s="2"/>
      <c r="D21" s="2"/>
      <c r="E21" s="2"/>
      <c r="F21" s="2"/>
      <c r="G21" s="2"/>
    </row>
    <row r="22" customFormat="false" ht="26.85" hidden="false" customHeight="false" outlineLevel="0" collapsed="false">
      <c r="A22" s="4" t="s">
        <v>24</v>
      </c>
      <c r="B22" s="4" t="s">
        <v>25</v>
      </c>
      <c r="C22" s="4" t="s">
        <v>26</v>
      </c>
      <c r="D22" s="4" t="s">
        <v>27</v>
      </c>
      <c r="E22" s="4" t="s">
        <v>28</v>
      </c>
      <c r="F22" s="4" t="s">
        <v>29</v>
      </c>
      <c r="G22" s="2"/>
    </row>
    <row r="23" customFormat="false" ht="15" hidden="false" customHeight="false" outlineLevel="0" collapsed="false">
      <c r="A23" s="5" t="s">
        <v>30</v>
      </c>
      <c r="B23" s="5" t="n">
        <f aca="false">COUNTIF(Findings!$B$2:$B$31,1)</f>
        <v>15</v>
      </c>
      <c r="C23" s="5" t="n">
        <f aca="false">COUNTIFS(Findings!$B$2:$B$31,1,Findings!$I$2:$I$31,"Fixed")</f>
        <v>15</v>
      </c>
      <c r="D23" s="5" t="n">
        <f aca="false">COUNTIFS(Findings!$B$2:$B$31,1,Findings!$I$2:$I$31,"Open")</f>
        <v>0</v>
      </c>
      <c r="E23" s="5" t="n">
        <f aca="false">COUNTIFS(Findings!$B$2:$B$31,1,Findings!$D$2:$D$31,"High")+COUNTIFS(Findings!$B$2:$B$31,1,Findings!$D$2:$D$31,"Medium")</f>
        <v>7</v>
      </c>
      <c r="F23" s="5" t="n">
        <f aca="false">COUNTIFS(Findings!$B$2:$B$31,1,Findings!$D$2:$D$31,"Low")</f>
        <v>8</v>
      </c>
      <c r="G23" s="2"/>
    </row>
    <row r="24" customFormat="false" ht="15" hidden="false" customHeight="false" outlineLevel="0" collapsed="false">
      <c r="A24" s="5" t="s">
        <v>31</v>
      </c>
      <c r="B24" s="5" t="n">
        <f aca="false">COUNTIF(Findings!$B$2:$B$31,2)</f>
        <v>7</v>
      </c>
      <c r="C24" s="5" t="n">
        <f aca="false">COUNTIFS(Findings!$B$2:$B$31,2,Findings!$I$2:$I$31,"Fixed")</f>
        <v>7</v>
      </c>
      <c r="D24" s="5" t="n">
        <f aca="false">COUNTIFS(Findings!$B$2:$B$31,2,Findings!$I$2:$I$31,"Open")</f>
        <v>0</v>
      </c>
      <c r="E24" s="5" t="n">
        <f aca="false">COUNTIFS(Findings!$B$2:$B$31,2,Findings!$D$2:$D$31,"High")+COUNTIFS(Findings!$B$2:$B$31,2,Findings!$D$2:$D$31,"Medium")</f>
        <v>4</v>
      </c>
      <c r="F24" s="5" t="n">
        <f aca="false">COUNTIFS(Findings!$B$2:$B$31,2,Findings!$D$2:$D$31,"Low")</f>
        <v>3</v>
      </c>
      <c r="G24" s="2"/>
    </row>
    <row r="25" customFormat="false" ht="15" hidden="false" customHeight="false" outlineLevel="0" collapsed="false">
      <c r="A25" s="5" t="s">
        <v>32</v>
      </c>
      <c r="B25" s="5" t="n">
        <f aca="false">COUNTIF(Findings!$B$2:$B$31,3)</f>
        <v>7</v>
      </c>
      <c r="C25" s="5" t="n">
        <f aca="false">COUNTIFS(Findings!$B$2:$B$31,3,Findings!$I$2:$I$31,"Fixed")</f>
        <v>7</v>
      </c>
      <c r="D25" s="5" t="n">
        <f aca="false">COUNTIFS(Findings!$B$2:$B$31,3,Findings!$I$2:$I$31,"Open")</f>
        <v>0</v>
      </c>
      <c r="E25" s="5" t="n">
        <f aca="false">COUNTIFS(Findings!$B$2:$B$31,3,Findings!$D$2:$D$31,"High")+COUNTIFS(Findings!$B$2:$B$31,3,Findings!$D$2:$D$31,"Medium")</f>
        <v>4</v>
      </c>
      <c r="F25" s="5" t="n">
        <f aca="false">COUNTIFS(Findings!$B$2:$B$31,3,Findings!$D$2:$D$31,"Low")</f>
        <v>3</v>
      </c>
      <c r="G25" s="2"/>
    </row>
    <row r="26" customFormat="false" ht="15" hidden="false" customHeight="false" outlineLevel="0" collapsed="false">
      <c r="A26" s="5" t="s">
        <v>33</v>
      </c>
      <c r="B26" s="5" t="n">
        <f aca="false">COUNTIF(Findings!$B$2:$B$31,4)</f>
        <v>1</v>
      </c>
      <c r="C26" s="5" t="n">
        <f aca="false">COUNTIFS(Findings!$B$2:$B$31,4,Findings!$I$2:$I$31,"Fixed")</f>
        <v>1</v>
      </c>
      <c r="D26" s="5" t="n">
        <f aca="false">COUNTIFS(Findings!$B$2:$B$31,4,Findings!$I$2:$I$31,"Open")</f>
        <v>0</v>
      </c>
      <c r="E26" s="5" t="n">
        <f aca="false">COUNTIFS(Findings!$B$2:$B$31,4,Findings!$D$2:$D$31,"High")+COUNTIFS(Findings!$B$2:$B$31,4,Findings!$D$2:$D$31,"Medium")</f>
        <v>0</v>
      </c>
      <c r="F26" s="5" t="n">
        <f aca="false">COUNTIFS(Findings!$B$2:$B$31,4,Findings!$D$2:$D$31,"Low")</f>
        <v>1</v>
      </c>
      <c r="G26" s="2"/>
    </row>
    <row r="27" customFormat="false" ht="15" hidden="false" customHeight="false" outlineLevel="0" collapsed="false">
      <c r="A27" s="2"/>
      <c r="B27" s="2"/>
      <c r="C27" s="2"/>
      <c r="D27" s="2"/>
      <c r="E27" s="2"/>
      <c r="F27" s="2"/>
      <c r="G27" s="2"/>
    </row>
    <row r="28" customFormat="false" ht="45" hidden="false" customHeight="true" outlineLevel="0" collapsed="false">
      <c r="A28" s="8" t="s">
        <v>34</v>
      </c>
      <c r="B28" s="8"/>
      <c r="C28" s="8"/>
      <c r="D28" s="8"/>
      <c r="E28" s="8"/>
      <c r="F28" s="8"/>
      <c r="G28" s="2"/>
    </row>
  </sheetData>
  <mergeCells count="2">
    <mergeCell ref="A2:F2"/>
    <mergeCell ref="A28:F2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4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3" min="2" style="0" width="30"/>
    <col collapsed="false" customWidth="true" hidden="false" outlineLevel="0" max="4" min="4" style="0" width="70"/>
    <col collapsed="false" customWidth="true" hidden="false" outlineLevel="0" max="5" min="5" style="0" width="11"/>
    <col collapsed="false" customWidth="true" hidden="false" outlineLevel="0" max="6" min="6" style="0" width="9"/>
    <col collapsed="false" customWidth="true" hidden="false" outlineLevel="0" max="7" min="7" style="0" width="11"/>
    <col collapsed="false" customWidth="true" hidden="false" outlineLevel="0" max="8" min="8" style="0" width="9"/>
    <col collapsed="false" customWidth="true" hidden="false" outlineLevel="0" max="9" min="9" style="0" width="30"/>
  </cols>
  <sheetData>
    <row r="1" customFormat="false" ht="52.2" hidden="false" customHeight="false" outlineLevel="0" collapsed="false">
      <c r="A1" s="4" t="s">
        <v>35</v>
      </c>
      <c r="B1" s="4" t="s">
        <v>2</v>
      </c>
      <c r="C1" s="4" t="s">
        <v>36</v>
      </c>
      <c r="D1" s="4" t="s">
        <v>37</v>
      </c>
      <c r="E1" s="4" t="s">
        <v>38</v>
      </c>
      <c r="F1" s="4" t="s">
        <v>39</v>
      </c>
      <c r="G1" s="4" t="s">
        <v>40</v>
      </c>
      <c r="H1" s="4" t="s">
        <v>41</v>
      </c>
      <c r="I1" s="4" t="s">
        <v>42</v>
      </c>
    </row>
    <row r="2" customFormat="false" ht="26.85" hidden="false" customHeight="false" outlineLevel="0" collapsed="false">
      <c r="A2" s="5" t="s">
        <v>43</v>
      </c>
      <c r="B2" s="5" t="s">
        <v>8</v>
      </c>
      <c r="C2" s="5" t="s">
        <v>44</v>
      </c>
      <c r="D2" s="5" t="s">
        <v>45</v>
      </c>
      <c r="E2" s="5" t="s">
        <v>46</v>
      </c>
      <c r="F2" s="5" t="n">
        <v>5</v>
      </c>
      <c r="G2" s="5" t="s">
        <v>46</v>
      </c>
      <c r="H2" s="5" t="n">
        <v>5</v>
      </c>
      <c r="I2" s="5"/>
    </row>
    <row r="3" customFormat="false" ht="26.85" hidden="false" customHeight="false" outlineLevel="0" collapsed="false">
      <c r="A3" s="5" t="s">
        <v>47</v>
      </c>
      <c r="B3" s="5" t="s">
        <v>8</v>
      </c>
      <c r="C3" s="5" t="s">
        <v>44</v>
      </c>
      <c r="D3" s="5" t="s">
        <v>48</v>
      </c>
      <c r="E3" s="5" t="s">
        <v>46</v>
      </c>
      <c r="F3" s="5" t="n">
        <v>5</v>
      </c>
      <c r="G3" s="5" t="s">
        <v>46</v>
      </c>
      <c r="H3" s="5" t="n">
        <v>5</v>
      </c>
      <c r="I3" s="5"/>
    </row>
    <row r="4" customFormat="false" ht="26.85" hidden="false" customHeight="false" outlineLevel="0" collapsed="false">
      <c r="A4" s="5" t="s">
        <v>49</v>
      </c>
      <c r="B4" s="5" t="s">
        <v>8</v>
      </c>
      <c r="C4" s="5" t="s">
        <v>44</v>
      </c>
      <c r="D4" s="5" t="s">
        <v>50</v>
      </c>
      <c r="E4" s="5" t="s">
        <v>46</v>
      </c>
      <c r="F4" s="5" t="n">
        <v>5</v>
      </c>
      <c r="G4" s="5" t="s">
        <v>46</v>
      </c>
      <c r="H4" s="5" t="n">
        <v>5</v>
      </c>
      <c r="I4" s="5"/>
    </row>
    <row r="5" customFormat="false" ht="39.55" hidden="false" customHeight="false" outlineLevel="0" collapsed="false">
      <c r="A5" s="5" t="s">
        <v>51</v>
      </c>
      <c r="B5" s="5" t="s">
        <v>8</v>
      </c>
      <c r="C5" s="5" t="s">
        <v>44</v>
      </c>
      <c r="D5" s="5" t="s">
        <v>52</v>
      </c>
      <c r="E5" s="5" t="s">
        <v>46</v>
      </c>
      <c r="F5" s="5" t="n">
        <v>5</v>
      </c>
      <c r="G5" s="5" t="s">
        <v>46</v>
      </c>
      <c r="H5" s="5" t="n">
        <v>5</v>
      </c>
      <c r="I5" s="5"/>
    </row>
    <row r="6" customFormat="false" ht="26.85" hidden="false" customHeight="false" outlineLevel="0" collapsed="false">
      <c r="A6" s="5" t="s">
        <v>53</v>
      </c>
      <c r="B6" s="5" t="s">
        <v>8</v>
      </c>
      <c r="C6" s="5" t="s">
        <v>44</v>
      </c>
      <c r="D6" s="5" t="s">
        <v>54</v>
      </c>
      <c r="E6" s="5" t="s">
        <v>46</v>
      </c>
      <c r="F6" s="5" t="n">
        <v>5</v>
      </c>
      <c r="G6" s="5" t="s">
        <v>46</v>
      </c>
      <c r="H6" s="5" t="n">
        <v>5</v>
      </c>
      <c r="I6" s="5"/>
    </row>
    <row r="7" customFormat="false" ht="26.85" hidden="false" customHeight="false" outlineLevel="0" collapsed="false">
      <c r="A7" s="5" t="s">
        <v>55</v>
      </c>
      <c r="B7" s="5" t="s">
        <v>8</v>
      </c>
      <c r="C7" s="5" t="s">
        <v>44</v>
      </c>
      <c r="D7" s="5" t="s">
        <v>56</v>
      </c>
      <c r="E7" s="5" t="s">
        <v>46</v>
      </c>
      <c r="F7" s="5" t="n">
        <v>5</v>
      </c>
      <c r="G7" s="5" t="s">
        <v>46</v>
      </c>
      <c r="H7" s="5" t="n">
        <v>5</v>
      </c>
      <c r="I7" s="5"/>
    </row>
    <row r="8" customFormat="false" ht="26.85" hidden="false" customHeight="false" outlineLevel="0" collapsed="false">
      <c r="A8" s="5" t="s">
        <v>57</v>
      </c>
      <c r="B8" s="5" t="s">
        <v>8</v>
      </c>
      <c r="C8" s="5" t="s">
        <v>44</v>
      </c>
      <c r="D8" s="5" t="s">
        <v>58</v>
      </c>
      <c r="E8" s="5" t="s">
        <v>46</v>
      </c>
      <c r="F8" s="5" t="n">
        <v>5</v>
      </c>
      <c r="G8" s="5" t="s">
        <v>46</v>
      </c>
      <c r="H8" s="5" t="n">
        <v>5</v>
      </c>
      <c r="I8" s="5"/>
    </row>
    <row r="9" customFormat="false" ht="26.85" hidden="false" customHeight="false" outlineLevel="0" collapsed="false">
      <c r="A9" s="5" t="s">
        <v>59</v>
      </c>
      <c r="B9" s="5" t="s">
        <v>8</v>
      </c>
      <c r="C9" s="5" t="s">
        <v>44</v>
      </c>
      <c r="D9" s="5" t="s">
        <v>60</v>
      </c>
      <c r="E9" s="5" t="s">
        <v>46</v>
      </c>
      <c r="F9" s="5" t="n">
        <v>5</v>
      </c>
      <c r="G9" s="5" t="s">
        <v>46</v>
      </c>
      <c r="H9" s="5" t="n">
        <v>5</v>
      </c>
      <c r="I9" s="5"/>
    </row>
    <row r="10" customFormat="false" ht="26.85" hidden="false" customHeight="false" outlineLevel="0" collapsed="false">
      <c r="A10" s="5" t="s">
        <v>61</v>
      </c>
      <c r="B10" s="5" t="s">
        <v>8</v>
      </c>
      <c r="C10" s="5" t="s">
        <v>44</v>
      </c>
      <c r="D10" s="5" t="s">
        <v>62</v>
      </c>
      <c r="E10" s="5" t="s">
        <v>46</v>
      </c>
      <c r="F10" s="5" t="n">
        <v>5</v>
      </c>
      <c r="G10" s="5" t="s">
        <v>46</v>
      </c>
      <c r="H10" s="5" t="n">
        <v>5</v>
      </c>
      <c r="I10" s="5"/>
    </row>
    <row r="11" customFormat="false" ht="26.85" hidden="false" customHeight="false" outlineLevel="0" collapsed="false">
      <c r="A11" s="5" t="s">
        <v>63</v>
      </c>
      <c r="B11" s="5" t="s">
        <v>8</v>
      </c>
      <c r="C11" s="5" t="s">
        <v>44</v>
      </c>
      <c r="D11" s="5" t="s">
        <v>64</v>
      </c>
      <c r="E11" s="5" t="s">
        <v>46</v>
      </c>
      <c r="F11" s="5" t="n">
        <v>5</v>
      </c>
      <c r="G11" s="5" t="s">
        <v>46</v>
      </c>
      <c r="H11" s="5" t="n">
        <v>5</v>
      </c>
      <c r="I11" s="5"/>
    </row>
    <row r="12" customFormat="false" ht="26.85" hidden="false" customHeight="false" outlineLevel="0" collapsed="false">
      <c r="A12" s="5" t="s">
        <v>65</v>
      </c>
      <c r="B12" s="5" t="s">
        <v>8</v>
      </c>
      <c r="C12" s="5" t="s">
        <v>44</v>
      </c>
      <c r="D12" s="5" t="s">
        <v>66</v>
      </c>
      <c r="E12" s="5" t="s">
        <v>46</v>
      </c>
      <c r="F12" s="5" t="n">
        <v>5</v>
      </c>
      <c r="G12" s="5" t="s">
        <v>46</v>
      </c>
      <c r="H12" s="5" t="n">
        <v>5</v>
      </c>
      <c r="I12" s="5"/>
    </row>
    <row r="13" customFormat="false" ht="26.85" hidden="false" customHeight="false" outlineLevel="0" collapsed="false">
      <c r="A13" s="5" t="s">
        <v>67</v>
      </c>
      <c r="B13" s="5" t="s">
        <v>8</v>
      </c>
      <c r="C13" s="5" t="s">
        <v>44</v>
      </c>
      <c r="D13" s="5" t="s">
        <v>68</v>
      </c>
      <c r="E13" s="5" t="s">
        <v>46</v>
      </c>
      <c r="F13" s="5" t="n">
        <v>5</v>
      </c>
      <c r="G13" s="5" t="s">
        <v>46</v>
      </c>
      <c r="H13" s="5" t="n">
        <v>5</v>
      </c>
      <c r="I13" s="5"/>
    </row>
    <row r="14" customFormat="false" ht="26.85" hidden="false" customHeight="false" outlineLevel="0" collapsed="false">
      <c r="A14" s="5" t="s">
        <v>69</v>
      </c>
      <c r="B14" s="5" t="s">
        <v>8</v>
      </c>
      <c r="C14" s="5" t="s">
        <v>44</v>
      </c>
      <c r="D14" s="5" t="s">
        <v>70</v>
      </c>
      <c r="E14" s="5" t="s">
        <v>46</v>
      </c>
      <c r="F14" s="5" t="n">
        <v>5</v>
      </c>
      <c r="G14" s="5" t="s">
        <v>46</v>
      </c>
      <c r="H14" s="5" t="n">
        <v>5</v>
      </c>
      <c r="I14" s="5"/>
    </row>
    <row r="15" customFormat="false" ht="26.85" hidden="false" customHeight="false" outlineLevel="0" collapsed="false">
      <c r="A15" s="5" t="s">
        <v>71</v>
      </c>
      <c r="B15" s="5" t="s">
        <v>8</v>
      </c>
      <c r="C15" s="5" t="s">
        <v>44</v>
      </c>
      <c r="D15" s="5" t="s">
        <v>72</v>
      </c>
      <c r="E15" s="5" t="s">
        <v>46</v>
      </c>
      <c r="F15" s="5" t="n">
        <v>5</v>
      </c>
      <c r="G15" s="5" t="s">
        <v>46</v>
      </c>
      <c r="H15" s="5" t="n">
        <v>5</v>
      </c>
      <c r="I15" s="5"/>
    </row>
    <row r="16" customFormat="false" ht="26.85" hidden="false" customHeight="false" outlineLevel="0" collapsed="false">
      <c r="A16" s="5" t="s">
        <v>73</v>
      </c>
      <c r="B16" s="5" t="s">
        <v>8</v>
      </c>
      <c r="C16" s="5" t="s">
        <v>44</v>
      </c>
      <c r="D16" s="5" t="s">
        <v>74</v>
      </c>
      <c r="E16" s="5" t="s">
        <v>46</v>
      </c>
      <c r="F16" s="5" t="n">
        <v>5</v>
      </c>
      <c r="G16" s="5" t="s">
        <v>46</v>
      </c>
      <c r="H16" s="5" t="n">
        <v>5</v>
      </c>
      <c r="I16" s="5"/>
    </row>
    <row r="17" customFormat="false" ht="26.85" hidden="false" customHeight="false" outlineLevel="0" collapsed="false">
      <c r="A17" s="5" t="s">
        <v>75</v>
      </c>
      <c r="B17" s="5" t="s">
        <v>8</v>
      </c>
      <c r="C17" s="5" t="s">
        <v>44</v>
      </c>
      <c r="D17" s="5" t="s">
        <v>76</v>
      </c>
      <c r="E17" s="5" t="s">
        <v>46</v>
      </c>
      <c r="F17" s="5" t="n">
        <v>5</v>
      </c>
      <c r="G17" s="5" t="s">
        <v>46</v>
      </c>
      <c r="H17" s="5" t="n">
        <v>5</v>
      </c>
      <c r="I17" s="5"/>
    </row>
    <row r="18" customFormat="false" ht="26.85" hidden="false" customHeight="false" outlineLevel="0" collapsed="false">
      <c r="A18" s="5" t="s">
        <v>77</v>
      </c>
      <c r="B18" s="5" t="s">
        <v>8</v>
      </c>
      <c r="C18" s="5" t="s">
        <v>44</v>
      </c>
      <c r="D18" s="5" t="s">
        <v>78</v>
      </c>
      <c r="E18" s="5" t="s">
        <v>46</v>
      </c>
      <c r="F18" s="5" t="n">
        <v>5</v>
      </c>
      <c r="G18" s="5" t="s">
        <v>46</v>
      </c>
      <c r="H18" s="5" t="n">
        <v>5</v>
      </c>
      <c r="I18" s="5"/>
    </row>
    <row r="19" customFormat="false" ht="26.85" hidden="false" customHeight="false" outlineLevel="0" collapsed="false">
      <c r="A19" s="5" t="s">
        <v>79</v>
      </c>
      <c r="B19" s="5" t="s">
        <v>8</v>
      </c>
      <c r="C19" s="5" t="s">
        <v>44</v>
      </c>
      <c r="D19" s="5" t="s">
        <v>80</v>
      </c>
      <c r="E19" s="5" t="s">
        <v>46</v>
      </c>
      <c r="F19" s="5" t="n">
        <v>5</v>
      </c>
      <c r="G19" s="5" t="s">
        <v>46</v>
      </c>
      <c r="H19" s="5" t="n">
        <v>5</v>
      </c>
      <c r="I19" s="5"/>
    </row>
    <row r="20" customFormat="false" ht="26.85" hidden="false" customHeight="false" outlineLevel="0" collapsed="false">
      <c r="A20" s="5" t="s">
        <v>81</v>
      </c>
      <c r="B20" s="5" t="s">
        <v>8</v>
      </c>
      <c r="C20" s="5" t="s">
        <v>44</v>
      </c>
      <c r="D20" s="5" t="s">
        <v>82</v>
      </c>
      <c r="E20" s="5" t="s">
        <v>46</v>
      </c>
      <c r="F20" s="5" t="n">
        <v>5</v>
      </c>
      <c r="G20" s="5" t="s">
        <v>46</v>
      </c>
      <c r="H20" s="5" t="n">
        <v>5</v>
      </c>
      <c r="I20" s="5"/>
    </row>
    <row r="21" customFormat="false" ht="26.85" hidden="false" customHeight="false" outlineLevel="0" collapsed="false">
      <c r="A21" s="5" t="s">
        <v>83</v>
      </c>
      <c r="B21" s="5" t="s">
        <v>8</v>
      </c>
      <c r="C21" s="5" t="s">
        <v>44</v>
      </c>
      <c r="D21" s="5" t="s">
        <v>84</v>
      </c>
      <c r="E21" s="5" t="s">
        <v>46</v>
      </c>
      <c r="F21" s="5" t="n">
        <v>5</v>
      </c>
      <c r="G21" s="5" t="s">
        <v>46</v>
      </c>
      <c r="H21" s="5" t="n">
        <v>5</v>
      </c>
      <c r="I21" s="5"/>
    </row>
    <row r="22" customFormat="false" ht="26.85" hidden="false" customHeight="false" outlineLevel="0" collapsed="false">
      <c r="A22" s="5" t="s">
        <v>85</v>
      </c>
      <c r="B22" s="5" t="s">
        <v>8</v>
      </c>
      <c r="C22" s="5" t="s">
        <v>44</v>
      </c>
      <c r="D22" s="5" t="s">
        <v>86</v>
      </c>
      <c r="E22" s="5" t="s">
        <v>46</v>
      </c>
      <c r="F22" s="5" t="n">
        <v>5</v>
      </c>
      <c r="G22" s="5" t="s">
        <v>46</v>
      </c>
      <c r="H22" s="5" t="n">
        <v>5</v>
      </c>
      <c r="I22" s="5"/>
    </row>
    <row r="23" customFormat="false" ht="26.85" hidden="false" customHeight="false" outlineLevel="0" collapsed="false">
      <c r="A23" s="5" t="s">
        <v>87</v>
      </c>
      <c r="B23" s="5" t="s">
        <v>8</v>
      </c>
      <c r="C23" s="5" t="s">
        <v>44</v>
      </c>
      <c r="D23" s="5" t="s">
        <v>88</v>
      </c>
      <c r="E23" s="5" t="s">
        <v>46</v>
      </c>
      <c r="F23" s="5" t="n">
        <v>5</v>
      </c>
      <c r="G23" s="5" t="s">
        <v>46</v>
      </c>
      <c r="H23" s="5" t="n">
        <v>5</v>
      </c>
      <c r="I23" s="5"/>
    </row>
    <row r="24" customFormat="false" ht="26.85" hidden="false" customHeight="false" outlineLevel="0" collapsed="false">
      <c r="A24" s="5" t="s">
        <v>89</v>
      </c>
      <c r="B24" s="5" t="s">
        <v>8</v>
      </c>
      <c r="C24" s="5" t="s">
        <v>44</v>
      </c>
      <c r="D24" s="5" t="s">
        <v>90</v>
      </c>
      <c r="E24" s="5" t="s">
        <v>46</v>
      </c>
      <c r="F24" s="5" t="n">
        <v>5</v>
      </c>
      <c r="G24" s="5" t="s">
        <v>46</v>
      </c>
      <c r="H24" s="5" t="n">
        <v>5</v>
      </c>
      <c r="I24" s="5"/>
    </row>
    <row r="25" customFormat="false" ht="26.85" hidden="false" customHeight="false" outlineLevel="0" collapsed="false">
      <c r="A25" s="5" t="s">
        <v>91</v>
      </c>
      <c r="B25" s="5" t="s">
        <v>8</v>
      </c>
      <c r="C25" s="5" t="s">
        <v>44</v>
      </c>
      <c r="D25" s="5" t="s">
        <v>92</v>
      </c>
      <c r="E25" s="5" t="s">
        <v>46</v>
      </c>
      <c r="F25" s="5" t="n">
        <v>5</v>
      </c>
      <c r="G25" s="5" t="s">
        <v>46</v>
      </c>
      <c r="H25" s="5" t="n">
        <v>5</v>
      </c>
      <c r="I25" s="5"/>
    </row>
    <row r="26" customFormat="false" ht="26.85" hidden="false" customHeight="false" outlineLevel="0" collapsed="false">
      <c r="A26" s="5" t="s">
        <v>93</v>
      </c>
      <c r="B26" s="5" t="s">
        <v>8</v>
      </c>
      <c r="C26" s="5" t="s">
        <v>44</v>
      </c>
      <c r="D26" s="5" t="s">
        <v>94</v>
      </c>
      <c r="E26" s="5" t="s">
        <v>46</v>
      </c>
      <c r="F26" s="5" t="n">
        <v>5</v>
      </c>
      <c r="G26" s="5" t="s">
        <v>46</v>
      </c>
      <c r="H26" s="5" t="n">
        <v>5</v>
      </c>
      <c r="I26" s="5"/>
    </row>
    <row r="27" customFormat="false" ht="39.55" hidden="false" customHeight="false" outlineLevel="0" collapsed="false">
      <c r="A27" s="5" t="s">
        <v>95</v>
      </c>
      <c r="B27" s="5" t="s">
        <v>8</v>
      </c>
      <c r="C27" s="5" t="s">
        <v>44</v>
      </c>
      <c r="D27" s="5" t="s">
        <v>52</v>
      </c>
      <c r="E27" s="5" t="s">
        <v>46</v>
      </c>
      <c r="F27" s="5" t="n">
        <v>5</v>
      </c>
      <c r="G27" s="5" t="s">
        <v>46</v>
      </c>
      <c r="H27" s="5" t="n">
        <v>5</v>
      </c>
      <c r="I27" s="5"/>
    </row>
    <row r="28" customFormat="false" ht="26.85" hidden="false" customHeight="false" outlineLevel="0" collapsed="false">
      <c r="A28" s="5" t="s">
        <v>96</v>
      </c>
      <c r="B28" s="5" t="s">
        <v>8</v>
      </c>
      <c r="C28" s="5" t="s">
        <v>44</v>
      </c>
      <c r="D28" s="5" t="s">
        <v>54</v>
      </c>
      <c r="E28" s="5" t="s">
        <v>46</v>
      </c>
      <c r="F28" s="5" t="n">
        <v>5</v>
      </c>
      <c r="G28" s="5" t="s">
        <v>46</v>
      </c>
      <c r="H28" s="5" t="n">
        <v>5</v>
      </c>
      <c r="I28" s="5"/>
    </row>
    <row r="29" customFormat="false" ht="26.85" hidden="false" customHeight="false" outlineLevel="0" collapsed="false">
      <c r="A29" s="5" t="s">
        <v>97</v>
      </c>
      <c r="B29" s="5" t="s">
        <v>8</v>
      </c>
      <c r="C29" s="5" t="s">
        <v>44</v>
      </c>
      <c r="D29" s="5" t="s">
        <v>56</v>
      </c>
      <c r="E29" s="5" t="s">
        <v>46</v>
      </c>
      <c r="F29" s="5" t="n">
        <v>5</v>
      </c>
      <c r="G29" s="5" t="s">
        <v>46</v>
      </c>
      <c r="H29" s="5" t="n">
        <v>5</v>
      </c>
      <c r="I29" s="5"/>
    </row>
    <row r="30" customFormat="false" ht="26.85" hidden="false" customHeight="false" outlineLevel="0" collapsed="false">
      <c r="A30" s="5" t="s">
        <v>98</v>
      </c>
      <c r="B30" s="5" t="s">
        <v>8</v>
      </c>
      <c r="C30" s="5" t="s">
        <v>44</v>
      </c>
      <c r="D30" s="5" t="s">
        <v>58</v>
      </c>
      <c r="E30" s="5" t="s">
        <v>46</v>
      </c>
      <c r="F30" s="5" t="n">
        <v>5</v>
      </c>
      <c r="G30" s="5" t="s">
        <v>46</v>
      </c>
      <c r="H30" s="5" t="n">
        <v>5</v>
      </c>
      <c r="I30" s="5"/>
    </row>
    <row r="31" customFormat="false" ht="26.85" hidden="false" customHeight="false" outlineLevel="0" collapsed="false">
      <c r="A31" s="5" t="s">
        <v>99</v>
      </c>
      <c r="B31" s="5" t="s">
        <v>8</v>
      </c>
      <c r="C31" s="5" t="s">
        <v>44</v>
      </c>
      <c r="D31" s="5" t="s">
        <v>60</v>
      </c>
      <c r="E31" s="5" t="s">
        <v>46</v>
      </c>
      <c r="F31" s="5" t="n">
        <v>5</v>
      </c>
      <c r="G31" s="5" t="s">
        <v>46</v>
      </c>
      <c r="H31" s="5" t="n">
        <v>5</v>
      </c>
      <c r="I31" s="5"/>
    </row>
    <row r="32" customFormat="false" ht="26.85" hidden="false" customHeight="false" outlineLevel="0" collapsed="false">
      <c r="A32" s="5" t="s">
        <v>100</v>
      </c>
      <c r="B32" s="5" t="s">
        <v>8</v>
      </c>
      <c r="C32" s="5" t="s">
        <v>44</v>
      </c>
      <c r="D32" s="5" t="s">
        <v>62</v>
      </c>
      <c r="E32" s="5" t="s">
        <v>46</v>
      </c>
      <c r="F32" s="5" t="n">
        <v>5</v>
      </c>
      <c r="G32" s="5" t="s">
        <v>46</v>
      </c>
      <c r="H32" s="5" t="n">
        <v>5</v>
      </c>
      <c r="I32" s="5"/>
    </row>
    <row r="33" customFormat="false" ht="26.85" hidden="false" customHeight="false" outlineLevel="0" collapsed="false">
      <c r="A33" s="5" t="s">
        <v>101</v>
      </c>
      <c r="B33" s="5" t="s">
        <v>8</v>
      </c>
      <c r="C33" s="5" t="s">
        <v>44</v>
      </c>
      <c r="D33" s="5" t="s">
        <v>64</v>
      </c>
      <c r="E33" s="5" t="s">
        <v>46</v>
      </c>
      <c r="F33" s="5" t="n">
        <v>5</v>
      </c>
      <c r="G33" s="5" t="s">
        <v>46</v>
      </c>
      <c r="H33" s="5" t="n">
        <v>5</v>
      </c>
      <c r="I33" s="5"/>
    </row>
    <row r="34" customFormat="false" ht="26.85" hidden="false" customHeight="false" outlineLevel="0" collapsed="false">
      <c r="A34" s="5" t="s">
        <v>102</v>
      </c>
      <c r="B34" s="5" t="s">
        <v>8</v>
      </c>
      <c r="C34" s="5" t="s">
        <v>44</v>
      </c>
      <c r="D34" s="5" t="s">
        <v>66</v>
      </c>
      <c r="E34" s="5" t="s">
        <v>46</v>
      </c>
      <c r="F34" s="5" t="n">
        <v>5</v>
      </c>
      <c r="G34" s="5" t="s">
        <v>46</v>
      </c>
      <c r="H34" s="5" t="n">
        <v>5</v>
      </c>
      <c r="I34" s="5"/>
    </row>
    <row r="35" customFormat="false" ht="26.85" hidden="false" customHeight="false" outlineLevel="0" collapsed="false">
      <c r="A35" s="5" t="s">
        <v>103</v>
      </c>
      <c r="B35" s="5" t="s">
        <v>8</v>
      </c>
      <c r="C35" s="5" t="s">
        <v>44</v>
      </c>
      <c r="D35" s="5" t="s">
        <v>68</v>
      </c>
      <c r="E35" s="5" t="s">
        <v>46</v>
      </c>
      <c r="F35" s="5" t="n">
        <v>5</v>
      </c>
      <c r="G35" s="5" t="s">
        <v>46</v>
      </c>
      <c r="H35" s="5" t="n">
        <v>5</v>
      </c>
      <c r="I35" s="5"/>
    </row>
    <row r="36" customFormat="false" ht="26.85" hidden="false" customHeight="false" outlineLevel="0" collapsed="false">
      <c r="A36" s="5" t="s">
        <v>104</v>
      </c>
      <c r="B36" s="5" t="s">
        <v>8</v>
      </c>
      <c r="C36" s="5" t="s">
        <v>44</v>
      </c>
      <c r="D36" s="5" t="s">
        <v>70</v>
      </c>
      <c r="E36" s="5" t="s">
        <v>46</v>
      </c>
      <c r="F36" s="5" t="n">
        <v>5</v>
      </c>
      <c r="G36" s="5" t="s">
        <v>46</v>
      </c>
      <c r="H36" s="5" t="n">
        <v>5</v>
      </c>
      <c r="I36" s="5"/>
    </row>
    <row r="37" customFormat="false" ht="26.85" hidden="false" customHeight="false" outlineLevel="0" collapsed="false">
      <c r="A37" s="5" t="s">
        <v>105</v>
      </c>
      <c r="B37" s="5" t="s">
        <v>8</v>
      </c>
      <c r="C37" s="5" t="s">
        <v>44</v>
      </c>
      <c r="D37" s="5" t="s">
        <v>72</v>
      </c>
      <c r="E37" s="5" t="s">
        <v>46</v>
      </c>
      <c r="F37" s="5" t="n">
        <v>5</v>
      </c>
      <c r="G37" s="5" t="s">
        <v>46</v>
      </c>
      <c r="H37" s="5" t="n">
        <v>5</v>
      </c>
      <c r="I37" s="5"/>
    </row>
    <row r="38" customFormat="false" ht="26.85" hidden="false" customHeight="false" outlineLevel="0" collapsed="false">
      <c r="A38" s="5" t="s">
        <v>106</v>
      </c>
      <c r="B38" s="5" t="s">
        <v>8</v>
      </c>
      <c r="C38" s="5" t="s">
        <v>44</v>
      </c>
      <c r="D38" s="5" t="s">
        <v>74</v>
      </c>
      <c r="E38" s="5" t="s">
        <v>46</v>
      </c>
      <c r="F38" s="5" t="n">
        <v>5</v>
      </c>
      <c r="G38" s="5" t="s">
        <v>46</v>
      </c>
      <c r="H38" s="5" t="n">
        <v>5</v>
      </c>
      <c r="I38" s="5"/>
    </row>
    <row r="39" customFormat="false" ht="26.85" hidden="false" customHeight="false" outlineLevel="0" collapsed="false">
      <c r="A39" s="5" t="s">
        <v>107</v>
      </c>
      <c r="B39" s="5" t="s">
        <v>8</v>
      </c>
      <c r="C39" s="5" t="s">
        <v>44</v>
      </c>
      <c r="D39" s="5" t="s">
        <v>76</v>
      </c>
      <c r="E39" s="5" t="s">
        <v>46</v>
      </c>
      <c r="F39" s="5" t="n">
        <v>5</v>
      </c>
      <c r="G39" s="5" t="s">
        <v>46</v>
      </c>
      <c r="H39" s="5" t="n">
        <v>5</v>
      </c>
      <c r="I39" s="5"/>
    </row>
    <row r="40" customFormat="false" ht="26.85" hidden="false" customHeight="false" outlineLevel="0" collapsed="false">
      <c r="A40" s="5" t="s">
        <v>108</v>
      </c>
      <c r="B40" s="5" t="s">
        <v>8</v>
      </c>
      <c r="C40" s="5" t="s">
        <v>44</v>
      </c>
      <c r="D40" s="5" t="s">
        <v>78</v>
      </c>
      <c r="E40" s="5" t="s">
        <v>46</v>
      </c>
      <c r="F40" s="5" t="n">
        <v>5</v>
      </c>
      <c r="G40" s="5" t="s">
        <v>46</v>
      </c>
      <c r="H40" s="5" t="n">
        <v>5</v>
      </c>
      <c r="I40" s="5"/>
    </row>
    <row r="41" customFormat="false" ht="26.85" hidden="false" customHeight="false" outlineLevel="0" collapsed="false">
      <c r="A41" s="5" t="s">
        <v>109</v>
      </c>
      <c r="B41" s="5" t="s">
        <v>8</v>
      </c>
      <c r="C41" s="5" t="s">
        <v>44</v>
      </c>
      <c r="D41" s="5" t="s">
        <v>80</v>
      </c>
      <c r="E41" s="5" t="s">
        <v>46</v>
      </c>
      <c r="F41" s="5" t="n">
        <v>5</v>
      </c>
      <c r="G41" s="5" t="s">
        <v>46</v>
      </c>
      <c r="H41" s="5" t="n">
        <v>5</v>
      </c>
      <c r="I41" s="5"/>
    </row>
    <row r="42" customFormat="false" ht="26.85" hidden="false" customHeight="false" outlineLevel="0" collapsed="false">
      <c r="A42" s="5" t="s">
        <v>110</v>
      </c>
      <c r="B42" s="5" t="s">
        <v>8</v>
      </c>
      <c r="C42" s="5" t="s">
        <v>44</v>
      </c>
      <c r="D42" s="5" t="s">
        <v>111</v>
      </c>
      <c r="E42" s="5" t="s">
        <v>46</v>
      </c>
      <c r="F42" s="5" t="n">
        <v>5</v>
      </c>
      <c r="G42" s="5" t="s">
        <v>46</v>
      </c>
      <c r="H42" s="5" t="n">
        <v>5</v>
      </c>
      <c r="I42" s="5"/>
    </row>
    <row r="43" customFormat="false" ht="26.85" hidden="false" customHeight="false" outlineLevel="0" collapsed="false">
      <c r="A43" s="5" t="s">
        <v>112</v>
      </c>
      <c r="B43" s="5" t="s">
        <v>8</v>
      </c>
      <c r="C43" s="5" t="s">
        <v>44</v>
      </c>
      <c r="D43" s="5" t="s">
        <v>84</v>
      </c>
      <c r="E43" s="5" t="s">
        <v>46</v>
      </c>
      <c r="F43" s="5" t="n">
        <v>5</v>
      </c>
      <c r="G43" s="5" t="s">
        <v>46</v>
      </c>
      <c r="H43" s="5" t="n">
        <v>5</v>
      </c>
      <c r="I43" s="5"/>
    </row>
    <row r="44" customFormat="false" ht="26.85" hidden="false" customHeight="false" outlineLevel="0" collapsed="false">
      <c r="A44" s="5" t="s">
        <v>113</v>
      </c>
      <c r="B44" s="5" t="s">
        <v>8</v>
      </c>
      <c r="C44" s="5" t="s">
        <v>44</v>
      </c>
      <c r="D44" s="5" t="s">
        <v>86</v>
      </c>
      <c r="E44" s="5" t="s">
        <v>46</v>
      </c>
      <c r="F44" s="5" t="n">
        <v>5</v>
      </c>
      <c r="G44" s="5" t="s">
        <v>46</v>
      </c>
      <c r="H44" s="5" t="n">
        <v>5</v>
      </c>
      <c r="I44" s="5"/>
    </row>
    <row r="45" customFormat="false" ht="26.85" hidden="false" customHeight="false" outlineLevel="0" collapsed="false">
      <c r="A45" s="5" t="s">
        <v>114</v>
      </c>
      <c r="B45" s="5" t="s">
        <v>8</v>
      </c>
      <c r="C45" s="5" t="s">
        <v>44</v>
      </c>
      <c r="D45" s="5" t="s">
        <v>88</v>
      </c>
      <c r="E45" s="5" t="s">
        <v>46</v>
      </c>
      <c r="F45" s="5" t="n">
        <v>5</v>
      </c>
      <c r="G45" s="5" t="s">
        <v>46</v>
      </c>
      <c r="H45" s="5" t="n">
        <v>5</v>
      </c>
      <c r="I45" s="5"/>
    </row>
    <row r="46" customFormat="false" ht="26.85" hidden="false" customHeight="false" outlineLevel="0" collapsed="false">
      <c r="A46" s="5" t="s">
        <v>115</v>
      </c>
      <c r="B46" s="5" t="s">
        <v>8</v>
      </c>
      <c r="C46" s="5" t="s">
        <v>44</v>
      </c>
      <c r="D46" s="5" t="s">
        <v>90</v>
      </c>
      <c r="E46" s="5" t="s">
        <v>46</v>
      </c>
      <c r="F46" s="5" t="n">
        <v>5</v>
      </c>
      <c r="G46" s="5" t="s">
        <v>46</v>
      </c>
      <c r="H46" s="5" t="n">
        <v>5</v>
      </c>
      <c r="I46" s="5"/>
    </row>
    <row r="47" customFormat="false" ht="26.85" hidden="false" customHeight="false" outlineLevel="0" collapsed="false">
      <c r="A47" s="5" t="s">
        <v>116</v>
      </c>
      <c r="B47" s="5" t="s">
        <v>8</v>
      </c>
      <c r="C47" s="5" t="s">
        <v>44</v>
      </c>
      <c r="D47" s="5" t="s">
        <v>92</v>
      </c>
      <c r="E47" s="5" t="s">
        <v>46</v>
      </c>
      <c r="F47" s="5" t="n">
        <v>5</v>
      </c>
      <c r="G47" s="5" t="s">
        <v>46</v>
      </c>
      <c r="H47" s="5" t="n">
        <v>5</v>
      </c>
      <c r="I47" s="5"/>
    </row>
    <row r="48" customFormat="false" ht="26.85" hidden="false" customHeight="false" outlineLevel="0" collapsed="false">
      <c r="A48" s="5" t="s">
        <v>117</v>
      </c>
      <c r="B48" s="5" t="s">
        <v>8</v>
      </c>
      <c r="C48" s="5" t="s">
        <v>44</v>
      </c>
      <c r="D48" s="5" t="s">
        <v>118</v>
      </c>
      <c r="E48" s="5" t="s">
        <v>46</v>
      </c>
      <c r="F48" s="5" t="n">
        <v>5</v>
      </c>
      <c r="G48" s="5" t="s">
        <v>46</v>
      </c>
      <c r="H48" s="5" t="n">
        <v>5</v>
      </c>
      <c r="I48" s="5"/>
    </row>
    <row r="49" customFormat="false" ht="39.55" hidden="false" customHeight="false" outlineLevel="0" collapsed="false">
      <c r="A49" s="5" t="s">
        <v>119</v>
      </c>
      <c r="B49" s="5" t="s">
        <v>8</v>
      </c>
      <c r="C49" s="5" t="s">
        <v>44</v>
      </c>
      <c r="D49" s="5" t="s">
        <v>52</v>
      </c>
      <c r="E49" s="5" t="s">
        <v>46</v>
      </c>
      <c r="F49" s="5" t="n">
        <v>5</v>
      </c>
      <c r="G49" s="5" t="s">
        <v>46</v>
      </c>
      <c r="H49" s="5" t="n">
        <v>5</v>
      </c>
      <c r="I49" s="5"/>
    </row>
    <row r="50" customFormat="false" ht="26.85" hidden="false" customHeight="false" outlineLevel="0" collapsed="false">
      <c r="A50" s="5" t="s">
        <v>120</v>
      </c>
      <c r="B50" s="5" t="s">
        <v>8</v>
      </c>
      <c r="C50" s="5" t="s">
        <v>44</v>
      </c>
      <c r="D50" s="5" t="s">
        <v>54</v>
      </c>
      <c r="E50" s="5" t="s">
        <v>46</v>
      </c>
      <c r="F50" s="5" t="n">
        <v>5</v>
      </c>
      <c r="G50" s="5" t="s">
        <v>46</v>
      </c>
      <c r="H50" s="5" t="n">
        <v>5</v>
      </c>
      <c r="I50" s="5"/>
    </row>
    <row r="51" customFormat="false" ht="26.85" hidden="false" customHeight="false" outlineLevel="0" collapsed="false">
      <c r="A51" s="5" t="s">
        <v>121</v>
      </c>
      <c r="B51" s="5" t="s">
        <v>8</v>
      </c>
      <c r="C51" s="5" t="s">
        <v>44</v>
      </c>
      <c r="D51" s="5" t="s">
        <v>56</v>
      </c>
      <c r="E51" s="5" t="s">
        <v>46</v>
      </c>
      <c r="F51" s="5" t="n">
        <v>5</v>
      </c>
      <c r="G51" s="5" t="s">
        <v>46</v>
      </c>
      <c r="H51" s="5" t="n">
        <v>5</v>
      </c>
      <c r="I51" s="5"/>
    </row>
    <row r="52" customFormat="false" ht="26.85" hidden="false" customHeight="false" outlineLevel="0" collapsed="false">
      <c r="A52" s="5" t="s">
        <v>122</v>
      </c>
      <c r="B52" s="5" t="s">
        <v>8</v>
      </c>
      <c r="C52" s="5" t="s">
        <v>44</v>
      </c>
      <c r="D52" s="5" t="s">
        <v>58</v>
      </c>
      <c r="E52" s="5" t="s">
        <v>46</v>
      </c>
      <c r="F52" s="5" t="n">
        <v>5</v>
      </c>
      <c r="G52" s="5" t="s">
        <v>46</v>
      </c>
      <c r="H52" s="5" t="n">
        <v>5</v>
      </c>
      <c r="I52" s="5"/>
    </row>
    <row r="53" customFormat="false" ht="26.85" hidden="false" customHeight="false" outlineLevel="0" collapsed="false">
      <c r="A53" s="5" t="s">
        <v>123</v>
      </c>
      <c r="B53" s="5" t="s">
        <v>8</v>
      </c>
      <c r="C53" s="5" t="s">
        <v>44</v>
      </c>
      <c r="D53" s="5" t="s">
        <v>60</v>
      </c>
      <c r="E53" s="5" t="s">
        <v>46</v>
      </c>
      <c r="F53" s="5" t="n">
        <v>5</v>
      </c>
      <c r="G53" s="5" t="s">
        <v>46</v>
      </c>
      <c r="H53" s="5" t="n">
        <v>5</v>
      </c>
      <c r="I53" s="5"/>
    </row>
    <row r="54" customFormat="false" ht="26.85" hidden="false" customHeight="false" outlineLevel="0" collapsed="false">
      <c r="A54" s="5" t="s">
        <v>124</v>
      </c>
      <c r="B54" s="5" t="s">
        <v>8</v>
      </c>
      <c r="C54" s="5" t="s">
        <v>44</v>
      </c>
      <c r="D54" s="5" t="s">
        <v>62</v>
      </c>
      <c r="E54" s="5" t="s">
        <v>46</v>
      </c>
      <c r="F54" s="5" t="n">
        <v>5</v>
      </c>
      <c r="G54" s="5" t="s">
        <v>46</v>
      </c>
      <c r="H54" s="5" t="n">
        <v>5</v>
      </c>
      <c r="I54" s="5"/>
    </row>
    <row r="55" customFormat="false" ht="26.85" hidden="false" customHeight="false" outlineLevel="0" collapsed="false">
      <c r="A55" s="5" t="s">
        <v>125</v>
      </c>
      <c r="B55" s="5" t="s">
        <v>8</v>
      </c>
      <c r="C55" s="5" t="s">
        <v>44</v>
      </c>
      <c r="D55" s="5" t="s">
        <v>64</v>
      </c>
      <c r="E55" s="5" t="s">
        <v>46</v>
      </c>
      <c r="F55" s="5" t="n">
        <v>5</v>
      </c>
      <c r="G55" s="5" t="s">
        <v>46</v>
      </c>
      <c r="H55" s="5" t="n">
        <v>5</v>
      </c>
      <c r="I55" s="5"/>
    </row>
    <row r="56" customFormat="false" ht="26.85" hidden="false" customHeight="false" outlineLevel="0" collapsed="false">
      <c r="A56" s="5" t="s">
        <v>126</v>
      </c>
      <c r="B56" s="5" t="s">
        <v>8</v>
      </c>
      <c r="C56" s="5" t="s">
        <v>44</v>
      </c>
      <c r="D56" s="5" t="s">
        <v>66</v>
      </c>
      <c r="E56" s="5" t="s">
        <v>46</v>
      </c>
      <c r="F56" s="5" t="n">
        <v>5</v>
      </c>
      <c r="G56" s="5" t="s">
        <v>46</v>
      </c>
      <c r="H56" s="5" t="n">
        <v>5</v>
      </c>
      <c r="I56" s="5"/>
    </row>
    <row r="57" customFormat="false" ht="26.85" hidden="false" customHeight="false" outlineLevel="0" collapsed="false">
      <c r="A57" s="5" t="s">
        <v>127</v>
      </c>
      <c r="B57" s="5" t="s">
        <v>8</v>
      </c>
      <c r="C57" s="5" t="s">
        <v>44</v>
      </c>
      <c r="D57" s="5" t="s">
        <v>68</v>
      </c>
      <c r="E57" s="5" t="s">
        <v>46</v>
      </c>
      <c r="F57" s="5" t="n">
        <v>5</v>
      </c>
      <c r="G57" s="5" t="s">
        <v>46</v>
      </c>
      <c r="H57" s="5" t="n">
        <v>5</v>
      </c>
      <c r="I57" s="5"/>
    </row>
    <row r="58" customFormat="false" ht="26.85" hidden="false" customHeight="false" outlineLevel="0" collapsed="false">
      <c r="A58" s="5" t="s">
        <v>128</v>
      </c>
      <c r="B58" s="5" t="s">
        <v>8</v>
      </c>
      <c r="C58" s="5" t="s">
        <v>44</v>
      </c>
      <c r="D58" s="5" t="s">
        <v>70</v>
      </c>
      <c r="E58" s="5" t="s">
        <v>46</v>
      </c>
      <c r="F58" s="5" t="n">
        <v>5</v>
      </c>
      <c r="G58" s="5" t="s">
        <v>46</v>
      </c>
      <c r="H58" s="5" t="n">
        <v>5</v>
      </c>
      <c r="I58" s="5"/>
    </row>
    <row r="59" customFormat="false" ht="26.85" hidden="false" customHeight="false" outlineLevel="0" collapsed="false">
      <c r="A59" s="5" t="s">
        <v>129</v>
      </c>
      <c r="B59" s="5" t="s">
        <v>8</v>
      </c>
      <c r="C59" s="5" t="s">
        <v>44</v>
      </c>
      <c r="D59" s="5" t="s">
        <v>72</v>
      </c>
      <c r="E59" s="5" t="s">
        <v>46</v>
      </c>
      <c r="F59" s="5" t="n">
        <v>5</v>
      </c>
      <c r="G59" s="5" t="s">
        <v>46</v>
      </c>
      <c r="H59" s="5" t="n">
        <v>5</v>
      </c>
      <c r="I59" s="5"/>
    </row>
    <row r="60" customFormat="false" ht="26.85" hidden="false" customHeight="false" outlineLevel="0" collapsed="false">
      <c r="A60" s="5" t="s">
        <v>130</v>
      </c>
      <c r="B60" s="5" t="s">
        <v>8</v>
      </c>
      <c r="C60" s="5" t="s">
        <v>44</v>
      </c>
      <c r="D60" s="5" t="s">
        <v>74</v>
      </c>
      <c r="E60" s="5" t="s">
        <v>46</v>
      </c>
      <c r="F60" s="5" t="n">
        <v>5</v>
      </c>
      <c r="G60" s="5" t="s">
        <v>46</v>
      </c>
      <c r="H60" s="5" t="n">
        <v>5</v>
      </c>
      <c r="I60" s="5"/>
    </row>
    <row r="61" customFormat="false" ht="26.85" hidden="false" customHeight="false" outlineLevel="0" collapsed="false">
      <c r="A61" s="5" t="s">
        <v>131</v>
      </c>
      <c r="B61" s="5" t="s">
        <v>8</v>
      </c>
      <c r="C61" s="5" t="s">
        <v>44</v>
      </c>
      <c r="D61" s="5" t="s">
        <v>76</v>
      </c>
      <c r="E61" s="5" t="s">
        <v>46</v>
      </c>
      <c r="F61" s="5" t="n">
        <v>5</v>
      </c>
      <c r="G61" s="5" t="s">
        <v>46</v>
      </c>
      <c r="H61" s="5" t="n">
        <v>5</v>
      </c>
      <c r="I61" s="5"/>
    </row>
    <row r="62" customFormat="false" ht="26.85" hidden="false" customHeight="false" outlineLevel="0" collapsed="false">
      <c r="A62" s="5" t="s">
        <v>132</v>
      </c>
      <c r="B62" s="5" t="s">
        <v>8</v>
      </c>
      <c r="C62" s="5" t="s">
        <v>44</v>
      </c>
      <c r="D62" s="5" t="s">
        <v>78</v>
      </c>
      <c r="E62" s="5" t="s">
        <v>46</v>
      </c>
      <c r="F62" s="5" t="n">
        <v>5</v>
      </c>
      <c r="G62" s="5" t="s">
        <v>46</v>
      </c>
      <c r="H62" s="5" t="n">
        <v>5</v>
      </c>
      <c r="I62" s="5"/>
    </row>
    <row r="63" customFormat="false" ht="26.85" hidden="false" customHeight="false" outlineLevel="0" collapsed="false">
      <c r="A63" s="5" t="s">
        <v>133</v>
      </c>
      <c r="B63" s="5" t="s">
        <v>8</v>
      </c>
      <c r="C63" s="5" t="s">
        <v>44</v>
      </c>
      <c r="D63" s="5" t="s">
        <v>80</v>
      </c>
      <c r="E63" s="5" t="s">
        <v>46</v>
      </c>
      <c r="F63" s="5" t="n">
        <v>5</v>
      </c>
      <c r="G63" s="5" t="s">
        <v>46</v>
      </c>
      <c r="H63" s="5" t="n">
        <v>5</v>
      </c>
      <c r="I63" s="5"/>
    </row>
    <row r="64" customFormat="false" ht="26.85" hidden="false" customHeight="false" outlineLevel="0" collapsed="false">
      <c r="A64" s="5" t="s">
        <v>134</v>
      </c>
      <c r="B64" s="5" t="s">
        <v>8</v>
      </c>
      <c r="C64" s="5" t="s">
        <v>44</v>
      </c>
      <c r="D64" s="5" t="s">
        <v>135</v>
      </c>
      <c r="E64" s="5" t="s">
        <v>46</v>
      </c>
      <c r="F64" s="5" t="n">
        <v>5</v>
      </c>
      <c r="G64" s="5" t="s">
        <v>46</v>
      </c>
      <c r="H64" s="5" t="n">
        <v>5</v>
      </c>
      <c r="I64" s="5"/>
    </row>
    <row r="65" customFormat="false" ht="26.85" hidden="false" customHeight="false" outlineLevel="0" collapsed="false">
      <c r="A65" s="5" t="s">
        <v>136</v>
      </c>
      <c r="B65" s="5" t="s">
        <v>8</v>
      </c>
      <c r="C65" s="5" t="s">
        <v>44</v>
      </c>
      <c r="D65" s="5" t="s">
        <v>84</v>
      </c>
      <c r="E65" s="5" t="s">
        <v>46</v>
      </c>
      <c r="F65" s="5" t="n">
        <v>5</v>
      </c>
      <c r="G65" s="5" t="s">
        <v>46</v>
      </c>
      <c r="H65" s="5" t="n">
        <v>5</v>
      </c>
      <c r="I65" s="5"/>
    </row>
    <row r="66" customFormat="false" ht="26.85" hidden="false" customHeight="false" outlineLevel="0" collapsed="false">
      <c r="A66" s="5" t="s">
        <v>137</v>
      </c>
      <c r="B66" s="5" t="s">
        <v>8</v>
      </c>
      <c r="C66" s="5" t="s">
        <v>44</v>
      </c>
      <c r="D66" s="5" t="s">
        <v>86</v>
      </c>
      <c r="E66" s="5" t="s">
        <v>46</v>
      </c>
      <c r="F66" s="5" t="n">
        <v>5</v>
      </c>
      <c r="G66" s="5" t="s">
        <v>46</v>
      </c>
      <c r="H66" s="5" t="n">
        <v>5</v>
      </c>
      <c r="I66" s="5"/>
    </row>
    <row r="67" customFormat="false" ht="26.85" hidden="false" customHeight="false" outlineLevel="0" collapsed="false">
      <c r="A67" s="5" t="s">
        <v>138</v>
      </c>
      <c r="B67" s="5" t="s">
        <v>8</v>
      </c>
      <c r="C67" s="5" t="s">
        <v>44</v>
      </c>
      <c r="D67" s="5" t="s">
        <v>88</v>
      </c>
      <c r="E67" s="5" t="s">
        <v>46</v>
      </c>
      <c r="F67" s="5" t="n">
        <v>5</v>
      </c>
      <c r="G67" s="5" t="s">
        <v>46</v>
      </c>
      <c r="H67" s="5" t="n">
        <v>5</v>
      </c>
      <c r="I67" s="5"/>
    </row>
    <row r="68" customFormat="false" ht="26.85" hidden="false" customHeight="false" outlineLevel="0" collapsed="false">
      <c r="A68" s="5" t="s">
        <v>139</v>
      </c>
      <c r="B68" s="5" t="s">
        <v>8</v>
      </c>
      <c r="C68" s="5" t="s">
        <v>44</v>
      </c>
      <c r="D68" s="5" t="s">
        <v>90</v>
      </c>
      <c r="E68" s="5" t="s">
        <v>46</v>
      </c>
      <c r="F68" s="5" t="n">
        <v>5</v>
      </c>
      <c r="G68" s="5" t="s">
        <v>46</v>
      </c>
      <c r="H68" s="5" t="n">
        <v>5</v>
      </c>
      <c r="I68" s="5"/>
    </row>
    <row r="69" customFormat="false" ht="26.85" hidden="false" customHeight="false" outlineLevel="0" collapsed="false">
      <c r="A69" s="5" t="s">
        <v>140</v>
      </c>
      <c r="B69" s="5" t="s">
        <v>8</v>
      </c>
      <c r="C69" s="5" t="s">
        <v>44</v>
      </c>
      <c r="D69" s="5" t="s">
        <v>92</v>
      </c>
      <c r="E69" s="5" t="s">
        <v>46</v>
      </c>
      <c r="F69" s="5" t="n">
        <v>5</v>
      </c>
      <c r="G69" s="5" t="s">
        <v>46</v>
      </c>
      <c r="H69" s="5" t="n">
        <v>5</v>
      </c>
      <c r="I69" s="5"/>
    </row>
    <row r="70" customFormat="false" ht="26.85" hidden="false" customHeight="false" outlineLevel="0" collapsed="false">
      <c r="A70" s="5" t="s">
        <v>141</v>
      </c>
      <c r="B70" s="5" t="s">
        <v>8</v>
      </c>
      <c r="C70" s="5" t="s">
        <v>44</v>
      </c>
      <c r="D70" s="5" t="s">
        <v>142</v>
      </c>
      <c r="E70" s="5" t="s">
        <v>46</v>
      </c>
      <c r="F70" s="5" t="n">
        <v>5</v>
      </c>
      <c r="G70" s="5" t="s">
        <v>46</v>
      </c>
      <c r="H70" s="5" t="n">
        <v>5</v>
      </c>
      <c r="I70" s="5"/>
    </row>
    <row r="71" customFormat="false" ht="39.55" hidden="false" customHeight="false" outlineLevel="0" collapsed="false">
      <c r="A71" s="5" t="s">
        <v>143</v>
      </c>
      <c r="B71" s="5" t="s">
        <v>8</v>
      </c>
      <c r="C71" s="5" t="s">
        <v>44</v>
      </c>
      <c r="D71" s="5" t="s">
        <v>52</v>
      </c>
      <c r="E71" s="5" t="s">
        <v>46</v>
      </c>
      <c r="F71" s="5" t="n">
        <v>5</v>
      </c>
      <c r="G71" s="5" t="s">
        <v>46</v>
      </c>
      <c r="H71" s="5" t="n">
        <v>5</v>
      </c>
      <c r="I71" s="5"/>
    </row>
    <row r="72" customFormat="false" ht="26.85" hidden="false" customHeight="false" outlineLevel="0" collapsed="false">
      <c r="A72" s="5" t="s">
        <v>144</v>
      </c>
      <c r="B72" s="5" t="s">
        <v>8</v>
      </c>
      <c r="C72" s="5" t="s">
        <v>44</v>
      </c>
      <c r="D72" s="5" t="s">
        <v>54</v>
      </c>
      <c r="E72" s="5" t="s">
        <v>46</v>
      </c>
      <c r="F72" s="5" t="n">
        <v>5</v>
      </c>
      <c r="G72" s="5" t="s">
        <v>46</v>
      </c>
      <c r="H72" s="5" t="n">
        <v>5</v>
      </c>
      <c r="I72" s="5"/>
    </row>
    <row r="73" customFormat="false" ht="26.85" hidden="false" customHeight="false" outlineLevel="0" collapsed="false">
      <c r="A73" s="5" t="s">
        <v>145</v>
      </c>
      <c r="B73" s="5" t="s">
        <v>8</v>
      </c>
      <c r="C73" s="5" t="s">
        <v>44</v>
      </c>
      <c r="D73" s="5" t="s">
        <v>56</v>
      </c>
      <c r="E73" s="5" t="s">
        <v>46</v>
      </c>
      <c r="F73" s="5" t="n">
        <v>5</v>
      </c>
      <c r="G73" s="5" t="s">
        <v>46</v>
      </c>
      <c r="H73" s="5" t="n">
        <v>5</v>
      </c>
      <c r="I73" s="5"/>
    </row>
    <row r="74" customFormat="false" ht="26.85" hidden="false" customHeight="false" outlineLevel="0" collapsed="false">
      <c r="A74" s="5" t="s">
        <v>146</v>
      </c>
      <c r="B74" s="5" t="s">
        <v>8</v>
      </c>
      <c r="C74" s="5" t="s">
        <v>44</v>
      </c>
      <c r="D74" s="5" t="s">
        <v>58</v>
      </c>
      <c r="E74" s="5" t="s">
        <v>46</v>
      </c>
      <c r="F74" s="5" t="n">
        <v>5</v>
      </c>
      <c r="G74" s="5" t="s">
        <v>46</v>
      </c>
      <c r="H74" s="5" t="n">
        <v>5</v>
      </c>
      <c r="I74" s="5"/>
    </row>
    <row r="75" customFormat="false" ht="26.85" hidden="false" customHeight="false" outlineLevel="0" collapsed="false">
      <c r="A75" s="5" t="s">
        <v>147</v>
      </c>
      <c r="B75" s="5" t="s">
        <v>8</v>
      </c>
      <c r="C75" s="5" t="s">
        <v>44</v>
      </c>
      <c r="D75" s="5" t="s">
        <v>60</v>
      </c>
      <c r="E75" s="5" t="s">
        <v>46</v>
      </c>
      <c r="F75" s="5" t="n">
        <v>5</v>
      </c>
      <c r="G75" s="5" t="s">
        <v>46</v>
      </c>
      <c r="H75" s="5" t="n">
        <v>5</v>
      </c>
      <c r="I75" s="5"/>
    </row>
    <row r="76" customFormat="false" ht="26.85" hidden="false" customHeight="false" outlineLevel="0" collapsed="false">
      <c r="A76" s="5" t="s">
        <v>148</v>
      </c>
      <c r="B76" s="5" t="s">
        <v>8</v>
      </c>
      <c r="C76" s="5" t="s">
        <v>44</v>
      </c>
      <c r="D76" s="5" t="s">
        <v>62</v>
      </c>
      <c r="E76" s="5" t="s">
        <v>46</v>
      </c>
      <c r="F76" s="5" t="n">
        <v>5</v>
      </c>
      <c r="G76" s="5" t="s">
        <v>46</v>
      </c>
      <c r="H76" s="5" t="n">
        <v>5</v>
      </c>
      <c r="I76" s="5"/>
    </row>
    <row r="77" customFormat="false" ht="26.85" hidden="false" customHeight="false" outlineLevel="0" collapsed="false">
      <c r="A77" s="5" t="s">
        <v>149</v>
      </c>
      <c r="B77" s="5" t="s">
        <v>8</v>
      </c>
      <c r="C77" s="5" t="s">
        <v>44</v>
      </c>
      <c r="D77" s="5" t="s">
        <v>64</v>
      </c>
      <c r="E77" s="5" t="s">
        <v>46</v>
      </c>
      <c r="F77" s="5" t="n">
        <v>5</v>
      </c>
      <c r="G77" s="5" t="s">
        <v>46</v>
      </c>
      <c r="H77" s="5" t="n">
        <v>5</v>
      </c>
      <c r="I77" s="5"/>
    </row>
    <row r="78" customFormat="false" ht="26.85" hidden="false" customHeight="false" outlineLevel="0" collapsed="false">
      <c r="A78" s="5" t="s">
        <v>150</v>
      </c>
      <c r="B78" s="5" t="s">
        <v>8</v>
      </c>
      <c r="C78" s="5" t="s">
        <v>44</v>
      </c>
      <c r="D78" s="5" t="s">
        <v>66</v>
      </c>
      <c r="E78" s="5" t="s">
        <v>46</v>
      </c>
      <c r="F78" s="5" t="n">
        <v>5</v>
      </c>
      <c r="G78" s="5" t="s">
        <v>46</v>
      </c>
      <c r="H78" s="5" t="n">
        <v>5</v>
      </c>
      <c r="I78" s="5"/>
    </row>
    <row r="79" customFormat="false" ht="26.85" hidden="false" customHeight="false" outlineLevel="0" collapsed="false">
      <c r="A79" s="5" t="s">
        <v>151</v>
      </c>
      <c r="B79" s="5" t="s">
        <v>8</v>
      </c>
      <c r="C79" s="5" t="s">
        <v>44</v>
      </c>
      <c r="D79" s="5" t="s">
        <v>68</v>
      </c>
      <c r="E79" s="5" t="s">
        <v>46</v>
      </c>
      <c r="F79" s="5" t="n">
        <v>5</v>
      </c>
      <c r="G79" s="5" t="s">
        <v>46</v>
      </c>
      <c r="H79" s="5" t="n">
        <v>5</v>
      </c>
      <c r="I79" s="5"/>
    </row>
    <row r="80" customFormat="false" ht="26.85" hidden="false" customHeight="false" outlineLevel="0" collapsed="false">
      <c r="A80" s="5" t="s">
        <v>152</v>
      </c>
      <c r="B80" s="5" t="s">
        <v>8</v>
      </c>
      <c r="C80" s="5" t="s">
        <v>44</v>
      </c>
      <c r="D80" s="5" t="s">
        <v>70</v>
      </c>
      <c r="E80" s="5" t="s">
        <v>46</v>
      </c>
      <c r="F80" s="5" t="n">
        <v>5</v>
      </c>
      <c r="G80" s="5" t="s">
        <v>46</v>
      </c>
      <c r="H80" s="5" t="n">
        <v>5</v>
      </c>
      <c r="I80" s="5"/>
    </row>
    <row r="81" customFormat="false" ht="26.85" hidden="false" customHeight="false" outlineLevel="0" collapsed="false">
      <c r="A81" s="5" t="s">
        <v>153</v>
      </c>
      <c r="B81" s="5" t="s">
        <v>8</v>
      </c>
      <c r="C81" s="5" t="s">
        <v>44</v>
      </c>
      <c r="D81" s="5" t="s">
        <v>72</v>
      </c>
      <c r="E81" s="5" t="s">
        <v>46</v>
      </c>
      <c r="F81" s="5" t="n">
        <v>5</v>
      </c>
      <c r="G81" s="5" t="s">
        <v>46</v>
      </c>
      <c r="H81" s="5" t="n">
        <v>5</v>
      </c>
      <c r="I81" s="5"/>
    </row>
    <row r="82" customFormat="false" ht="26.85" hidden="false" customHeight="false" outlineLevel="0" collapsed="false">
      <c r="A82" s="5" t="s">
        <v>154</v>
      </c>
      <c r="B82" s="5" t="s">
        <v>8</v>
      </c>
      <c r="C82" s="5" t="s">
        <v>44</v>
      </c>
      <c r="D82" s="5" t="s">
        <v>74</v>
      </c>
      <c r="E82" s="5" t="s">
        <v>46</v>
      </c>
      <c r="F82" s="5" t="n">
        <v>5</v>
      </c>
      <c r="G82" s="5" t="s">
        <v>46</v>
      </c>
      <c r="H82" s="5" t="n">
        <v>5</v>
      </c>
      <c r="I82" s="5"/>
    </row>
    <row r="83" customFormat="false" ht="26.85" hidden="false" customHeight="false" outlineLevel="0" collapsed="false">
      <c r="A83" s="5" t="s">
        <v>155</v>
      </c>
      <c r="B83" s="5" t="s">
        <v>8</v>
      </c>
      <c r="C83" s="5" t="s">
        <v>44</v>
      </c>
      <c r="D83" s="5" t="s">
        <v>76</v>
      </c>
      <c r="E83" s="5" t="s">
        <v>46</v>
      </c>
      <c r="F83" s="5" t="n">
        <v>5</v>
      </c>
      <c r="G83" s="5" t="s">
        <v>46</v>
      </c>
      <c r="H83" s="5" t="n">
        <v>5</v>
      </c>
      <c r="I83" s="5"/>
    </row>
    <row r="84" customFormat="false" ht="26.85" hidden="false" customHeight="false" outlineLevel="0" collapsed="false">
      <c r="A84" s="5" t="s">
        <v>156</v>
      </c>
      <c r="B84" s="5" t="s">
        <v>8</v>
      </c>
      <c r="C84" s="5" t="s">
        <v>44</v>
      </c>
      <c r="D84" s="5" t="s">
        <v>78</v>
      </c>
      <c r="E84" s="5" t="s">
        <v>46</v>
      </c>
      <c r="F84" s="5" t="n">
        <v>5</v>
      </c>
      <c r="G84" s="5" t="s">
        <v>46</v>
      </c>
      <c r="H84" s="5" t="n">
        <v>5</v>
      </c>
      <c r="I84" s="5"/>
    </row>
    <row r="85" customFormat="false" ht="26.85" hidden="false" customHeight="false" outlineLevel="0" collapsed="false">
      <c r="A85" s="5" t="s">
        <v>157</v>
      </c>
      <c r="B85" s="5" t="s">
        <v>8</v>
      </c>
      <c r="C85" s="5" t="s">
        <v>44</v>
      </c>
      <c r="D85" s="5" t="s">
        <v>80</v>
      </c>
      <c r="E85" s="5" t="s">
        <v>46</v>
      </c>
      <c r="F85" s="5" t="n">
        <v>5</v>
      </c>
      <c r="G85" s="5" t="s">
        <v>46</v>
      </c>
      <c r="H85" s="5" t="n">
        <v>5</v>
      </c>
      <c r="I85" s="5"/>
    </row>
    <row r="86" customFormat="false" ht="26.85" hidden="false" customHeight="false" outlineLevel="0" collapsed="false">
      <c r="A86" s="5" t="s">
        <v>158</v>
      </c>
      <c r="B86" s="5" t="s">
        <v>8</v>
      </c>
      <c r="C86" s="5" t="s">
        <v>44</v>
      </c>
      <c r="D86" s="5" t="s">
        <v>159</v>
      </c>
      <c r="E86" s="5" t="s">
        <v>46</v>
      </c>
      <c r="F86" s="5" t="n">
        <v>5</v>
      </c>
      <c r="G86" s="5" t="s">
        <v>46</v>
      </c>
      <c r="H86" s="5" t="n">
        <v>5</v>
      </c>
      <c r="I86" s="5"/>
    </row>
    <row r="87" customFormat="false" ht="26.85" hidden="false" customHeight="false" outlineLevel="0" collapsed="false">
      <c r="A87" s="5" t="s">
        <v>160</v>
      </c>
      <c r="B87" s="5" t="s">
        <v>8</v>
      </c>
      <c r="C87" s="5" t="s">
        <v>44</v>
      </c>
      <c r="D87" s="5" t="s">
        <v>84</v>
      </c>
      <c r="E87" s="5" t="s">
        <v>46</v>
      </c>
      <c r="F87" s="5" t="n">
        <v>5</v>
      </c>
      <c r="G87" s="5" t="s">
        <v>46</v>
      </c>
      <c r="H87" s="5" t="n">
        <v>5</v>
      </c>
      <c r="I87" s="5"/>
    </row>
    <row r="88" customFormat="false" ht="26.85" hidden="false" customHeight="false" outlineLevel="0" collapsed="false">
      <c r="A88" s="5" t="s">
        <v>161</v>
      </c>
      <c r="B88" s="5" t="s">
        <v>8</v>
      </c>
      <c r="C88" s="5" t="s">
        <v>44</v>
      </c>
      <c r="D88" s="5" t="s">
        <v>86</v>
      </c>
      <c r="E88" s="5" t="s">
        <v>46</v>
      </c>
      <c r="F88" s="5" t="n">
        <v>5</v>
      </c>
      <c r="G88" s="5" t="s">
        <v>46</v>
      </c>
      <c r="H88" s="5" t="n">
        <v>5</v>
      </c>
      <c r="I88" s="5"/>
    </row>
    <row r="89" customFormat="false" ht="26.85" hidden="false" customHeight="false" outlineLevel="0" collapsed="false">
      <c r="A89" s="5" t="s">
        <v>162</v>
      </c>
      <c r="B89" s="5" t="s">
        <v>8</v>
      </c>
      <c r="C89" s="5" t="s">
        <v>44</v>
      </c>
      <c r="D89" s="5" t="s">
        <v>88</v>
      </c>
      <c r="E89" s="5" t="s">
        <v>46</v>
      </c>
      <c r="F89" s="5" t="n">
        <v>5</v>
      </c>
      <c r="G89" s="5" t="s">
        <v>46</v>
      </c>
      <c r="H89" s="5" t="n">
        <v>5</v>
      </c>
      <c r="I89" s="5"/>
    </row>
    <row r="90" customFormat="false" ht="26.85" hidden="false" customHeight="false" outlineLevel="0" collapsed="false">
      <c r="A90" s="5" t="s">
        <v>163</v>
      </c>
      <c r="B90" s="5" t="s">
        <v>8</v>
      </c>
      <c r="C90" s="5" t="s">
        <v>44</v>
      </c>
      <c r="D90" s="5" t="s">
        <v>90</v>
      </c>
      <c r="E90" s="5" t="s">
        <v>46</v>
      </c>
      <c r="F90" s="5" t="n">
        <v>5</v>
      </c>
      <c r="G90" s="5" t="s">
        <v>46</v>
      </c>
      <c r="H90" s="5" t="n">
        <v>5</v>
      </c>
      <c r="I90" s="5"/>
    </row>
    <row r="91" customFormat="false" ht="26.85" hidden="false" customHeight="false" outlineLevel="0" collapsed="false">
      <c r="A91" s="5" t="s">
        <v>164</v>
      </c>
      <c r="B91" s="5" t="s">
        <v>8</v>
      </c>
      <c r="C91" s="5" t="s">
        <v>44</v>
      </c>
      <c r="D91" s="5" t="s">
        <v>92</v>
      </c>
      <c r="E91" s="5" t="s">
        <v>46</v>
      </c>
      <c r="F91" s="5" t="n">
        <v>5</v>
      </c>
      <c r="G91" s="5" t="s">
        <v>46</v>
      </c>
      <c r="H91" s="5" t="n">
        <v>5</v>
      </c>
      <c r="I91" s="5"/>
    </row>
    <row r="92" customFormat="false" ht="26.85" hidden="false" customHeight="false" outlineLevel="0" collapsed="false">
      <c r="A92" s="5" t="s">
        <v>165</v>
      </c>
      <c r="B92" s="5" t="s">
        <v>8</v>
      </c>
      <c r="C92" s="5" t="s">
        <v>44</v>
      </c>
      <c r="D92" s="5" t="s">
        <v>166</v>
      </c>
      <c r="E92" s="5" t="s">
        <v>46</v>
      </c>
      <c r="F92" s="5" t="n">
        <v>5</v>
      </c>
      <c r="G92" s="5" t="s">
        <v>46</v>
      </c>
      <c r="H92" s="5" t="n">
        <v>5</v>
      </c>
      <c r="I92" s="5"/>
    </row>
    <row r="93" customFormat="false" ht="39.55" hidden="false" customHeight="false" outlineLevel="0" collapsed="false">
      <c r="A93" s="5" t="s">
        <v>167</v>
      </c>
      <c r="B93" s="5" t="s">
        <v>8</v>
      </c>
      <c r="C93" s="5" t="s">
        <v>44</v>
      </c>
      <c r="D93" s="5" t="s">
        <v>52</v>
      </c>
      <c r="E93" s="5" t="s">
        <v>46</v>
      </c>
      <c r="F93" s="5" t="n">
        <v>5</v>
      </c>
      <c r="G93" s="5" t="s">
        <v>46</v>
      </c>
      <c r="H93" s="5" t="n">
        <v>5</v>
      </c>
      <c r="I93" s="5"/>
    </row>
    <row r="94" customFormat="false" ht="26.85" hidden="false" customHeight="false" outlineLevel="0" collapsed="false">
      <c r="A94" s="5" t="s">
        <v>168</v>
      </c>
      <c r="B94" s="5" t="s">
        <v>8</v>
      </c>
      <c r="C94" s="5" t="s">
        <v>44</v>
      </c>
      <c r="D94" s="5" t="s">
        <v>54</v>
      </c>
      <c r="E94" s="5" t="s">
        <v>46</v>
      </c>
      <c r="F94" s="5" t="n">
        <v>5</v>
      </c>
      <c r="G94" s="5" t="s">
        <v>46</v>
      </c>
      <c r="H94" s="5" t="n">
        <v>5</v>
      </c>
      <c r="I94" s="5"/>
    </row>
    <row r="95" customFormat="false" ht="26.85" hidden="false" customHeight="false" outlineLevel="0" collapsed="false">
      <c r="A95" s="5" t="s">
        <v>169</v>
      </c>
      <c r="B95" s="5" t="s">
        <v>8</v>
      </c>
      <c r="C95" s="5" t="s">
        <v>44</v>
      </c>
      <c r="D95" s="5" t="s">
        <v>56</v>
      </c>
      <c r="E95" s="5" t="s">
        <v>46</v>
      </c>
      <c r="F95" s="5" t="n">
        <v>5</v>
      </c>
      <c r="G95" s="5" t="s">
        <v>46</v>
      </c>
      <c r="H95" s="5" t="n">
        <v>5</v>
      </c>
      <c r="I95" s="5"/>
    </row>
    <row r="96" customFormat="false" ht="26.85" hidden="false" customHeight="false" outlineLevel="0" collapsed="false">
      <c r="A96" s="5" t="s">
        <v>170</v>
      </c>
      <c r="B96" s="5" t="s">
        <v>8</v>
      </c>
      <c r="C96" s="5" t="s">
        <v>44</v>
      </c>
      <c r="D96" s="5" t="s">
        <v>58</v>
      </c>
      <c r="E96" s="5" t="s">
        <v>46</v>
      </c>
      <c r="F96" s="5" t="n">
        <v>5</v>
      </c>
      <c r="G96" s="5" t="s">
        <v>46</v>
      </c>
      <c r="H96" s="5" t="n">
        <v>5</v>
      </c>
      <c r="I96" s="5"/>
    </row>
    <row r="97" customFormat="false" ht="26.85" hidden="false" customHeight="false" outlineLevel="0" collapsed="false">
      <c r="A97" s="5" t="s">
        <v>171</v>
      </c>
      <c r="B97" s="5" t="s">
        <v>8</v>
      </c>
      <c r="C97" s="5" t="s">
        <v>44</v>
      </c>
      <c r="D97" s="5" t="s">
        <v>60</v>
      </c>
      <c r="E97" s="5" t="s">
        <v>46</v>
      </c>
      <c r="F97" s="5" t="n">
        <v>5</v>
      </c>
      <c r="G97" s="5" t="s">
        <v>46</v>
      </c>
      <c r="H97" s="5" t="n">
        <v>5</v>
      </c>
      <c r="I97" s="5"/>
    </row>
    <row r="98" customFormat="false" ht="26.85" hidden="false" customHeight="false" outlineLevel="0" collapsed="false">
      <c r="A98" s="5" t="s">
        <v>172</v>
      </c>
      <c r="B98" s="5" t="s">
        <v>8</v>
      </c>
      <c r="C98" s="5" t="s">
        <v>44</v>
      </c>
      <c r="D98" s="5" t="s">
        <v>62</v>
      </c>
      <c r="E98" s="5" t="s">
        <v>46</v>
      </c>
      <c r="F98" s="5" t="n">
        <v>5</v>
      </c>
      <c r="G98" s="5" t="s">
        <v>46</v>
      </c>
      <c r="H98" s="5" t="n">
        <v>5</v>
      </c>
      <c r="I98" s="5"/>
    </row>
    <row r="99" customFormat="false" ht="26.85" hidden="false" customHeight="false" outlineLevel="0" collapsed="false">
      <c r="A99" s="5" t="s">
        <v>173</v>
      </c>
      <c r="B99" s="5" t="s">
        <v>8</v>
      </c>
      <c r="C99" s="5" t="s">
        <v>44</v>
      </c>
      <c r="D99" s="5" t="s">
        <v>64</v>
      </c>
      <c r="E99" s="5" t="s">
        <v>46</v>
      </c>
      <c r="F99" s="5" t="n">
        <v>5</v>
      </c>
      <c r="G99" s="5" t="s">
        <v>46</v>
      </c>
      <c r="H99" s="5" t="n">
        <v>5</v>
      </c>
      <c r="I99" s="5"/>
    </row>
    <row r="100" customFormat="false" ht="26.85" hidden="false" customHeight="false" outlineLevel="0" collapsed="false">
      <c r="A100" s="5" t="s">
        <v>174</v>
      </c>
      <c r="B100" s="5" t="s">
        <v>8</v>
      </c>
      <c r="C100" s="5" t="s">
        <v>44</v>
      </c>
      <c r="D100" s="5" t="s">
        <v>66</v>
      </c>
      <c r="E100" s="5" t="s">
        <v>46</v>
      </c>
      <c r="F100" s="5" t="n">
        <v>5</v>
      </c>
      <c r="G100" s="5" t="s">
        <v>46</v>
      </c>
      <c r="H100" s="5" t="n">
        <v>5</v>
      </c>
      <c r="I100" s="5"/>
    </row>
    <row r="101" customFormat="false" ht="26.85" hidden="false" customHeight="false" outlineLevel="0" collapsed="false">
      <c r="A101" s="5" t="s">
        <v>175</v>
      </c>
      <c r="B101" s="5" t="s">
        <v>8</v>
      </c>
      <c r="C101" s="5" t="s">
        <v>44</v>
      </c>
      <c r="D101" s="5" t="s">
        <v>68</v>
      </c>
      <c r="E101" s="5" t="s">
        <v>46</v>
      </c>
      <c r="F101" s="5" t="n">
        <v>5</v>
      </c>
      <c r="G101" s="5" t="s">
        <v>46</v>
      </c>
      <c r="H101" s="5" t="n">
        <v>5</v>
      </c>
      <c r="I101" s="5"/>
    </row>
    <row r="102" customFormat="false" ht="26.85" hidden="false" customHeight="false" outlineLevel="0" collapsed="false">
      <c r="A102" s="5" t="s">
        <v>176</v>
      </c>
      <c r="B102" s="5" t="s">
        <v>8</v>
      </c>
      <c r="C102" s="5" t="s">
        <v>44</v>
      </c>
      <c r="D102" s="5" t="s">
        <v>70</v>
      </c>
      <c r="E102" s="5" t="s">
        <v>46</v>
      </c>
      <c r="F102" s="5" t="n">
        <v>5</v>
      </c>
      <c r="G102" s="5" t="s">
        <v>46</v>
      </c>
      <c r="H102" s="5" t="n">
        <v>5</v>
      </c>
      <c r="I102" s="5"/>
    </row>
    <row r="103" customFormat="false" ht="26.85" hidden="false" customHeight="false" outlineLevel="0" collapsed="false">
      <c r="A103" s="5" t="s">
        <v>177</v>
      </c>
      <c r="B103" s="5" t="s">
        <v>8</v>
      </c>
      <c r="C103" s="5" t="s">
        <v>44</v>
      </c>
      <c r="D103" s="5" t="s">
        <v>72</v>
      </c>
      <c r="E103" s="5" t="s">
        <v>46</v>
      </c>
      <c r="F103" s="5" t="n">
        <v>5</v>
      </c>
      <c r="G103" s="5" t="s">
        <v>46</v>
      </c>
      <c r="H103" s="5" t="n">
        <v>5</v>
      </c>
      <c r="I103" s="5"/>
    </row>
    <row r="104" customFormat="false" ht="26.85" hidden="false" customHeight="false" outlineLevel="0" collapsed="false">
      <c r="A104" s="5" t="s">
        <v>178</v>
      </c>
      <c r="B104" s="5" t="s">
        <v>8</v>
      </c>
      <c r="C104" s="5" t="s">
        <v>44</v>
      </c>
      <c r="D104" s="5" t="s">
        <v>74</v>
      </c>
      <c r="E104" s="5" t="s">
        <v>46</v>
      </c>
      <c r="F104" s="5" t="n">
        <v>5</v>
      </c>
      <c r="G104" s="5" t="s">
        <v>46</v>
      </c>
      <c r="H104" s="5" t="n">
        <v>5</v>
      </c>
      <c r="I104" s="5"/>
    </row>
    <row r="105" customFormat="false" ht="26.85" hidden="false" customHeight="false" outlineLevel="0" collapsed="false">
      <c r="A105" s="5" t="s">
        <v>179</v>
      </c>
      <c r="B105" s="5" t="s">
        <v>8</v>
      </c>
      <c r="C105" s="5" t="s">
        <v>44</v>
      </c>
      <c r="D105" s="5" t="s">
        <v>76</v>
      </c>
      <c r="E105" s="5" t="s">
        <v>46</v>
      </c>
      <c r="F105" s="5" t="n">
        <v>5</v>
      </c>
      <c r="G105" s="5" t="s">
        <v>46</v>
      </c>
      <c r="H105" s="5" t="n">
        <v>5</v>
      </c>
      <c r="I105" s="5"/>
    </row>
    <row r="106" customFormat="false" ht="26.85" hidden="false" customHeight="false" outlineLevel="0" collapsed="false">
      <c r="A106" s="5" t="s">
        <v>180</v>
      </c>
      <c r="B106" s="5" t="s">
        <v>8</v>
      </c>
      <c r="C106" s="5" t="s">
        <v>44</v>
      </c>
      <c r="D106" s="5" t="s">
        <v>78</v>
      </c>
      <c r="E106" s="5" t="s">
        <v>46</v>
      </c>
      <c r="F106" s="5" t="n">
        <v>5</v>
      </c>
      <c r="G106" s="5" t="s">
        <v>46</v>
      </c>
      <c r="H106" s="5" t="n">
        <v>5</v>
      </c>
      <c r="I106" s="5"/>
    </row>
    <row r="107" customFormat="false" ht="26.85" hidden="false" customHeight="false" outlineLevel="0" collapsed="false">
      <c r="A107" s="5" t="s">
        <v>181</v>
      </c>
      <c r="B107" s="5" t="s">
        <v>8</v>
      </c>
      <c r="C107" s="5" t="s">
        <v>44</v>
      </c>
      <c r="D107" s="5" t="s">
        <v>80</v>
      </c>
      <c r="E107" s="5" t="s">
        <v>46</v>
      </c>
      <c r="F107" s="5" t="n">
        <v>5</v>
      </c>
      <c r="G107" s="5" t="s">
        <v>46</v>
      </c>
      <c r="H107" s="5" t="n">
        <v>5</v>
      </c>
      <c r="I107" s="5"/>
    </row>
    <row r="108" customFormat="false" ht="26.85" hidden="false" customHeight="false" outlineLevel="0" collapsed="false">
      <c r="A108" s="5" t="s">
        <v>182</v>
      </c>
      <c r="B108" s="5" t="s">
        <v>8</v>
      </c>
      <c r="C108" s="5" t="s">
        <v>44</v>
      </c>
      <c r="D108" s="5" t="s">
        <v>183</v>
      </c>
      <c r="E108" s="5" t="s">
        <v>46</v>
      </c>
      <c r="F108" s="5" t="n">
        <v>5</v>
      </c>
      <c r="G108" s="5" t="s">
        <v>46</v>
      </c>
      <c r="H108" s="5" t="n">
        <v>5</v>
      </c>
      <c r="I108" s="5"/>
    </row>
    <row r="109" customFormat="false" ht="26.85" hidden="false" customHeight="false" outlineLevel="0" collapsed="false">
      <c r="A109" s="5" t="s">
        <v>184</v>
      </c>
      <c r="B109" s="5" t="s">
        <v>8</v>
      </c>
      <c r="C109" s="5" t="s">
        <v>44</v>
      </c>
      <c r="D109" s="5" t="s">
        <v>84</v>
      </c>
      <c r="E109" s="5" t="s">
        <v>46</v>
      </c>
      <c r="F109" s="5" t="n">
        <v>5</v>
      </c>
      <c r="G109" s="5" t="s">
        <v>46</v>
      </c>
      <c r="H109" s="5" t="n">
        <v>5</v>
      </c>
      <c r="I109" s="5"/>
    </row>
    <row r="110" customFormat="false" ht="26.85" hidden="false" customHeight="false" outlineLevel="0" collapsed="false">
      <c r="A110" s="5" t="s">
        <v>185</v>
      </c>
      <c r="B110" s="5" t="s">
        <v>8</v>
      </c>
      <c r="C110" s="5" t="s">
        <v>44</v>
      </c>
      <c r="D110" s="5" t="s">
        <v>86</v>
      </c>
      <c r="E110" s="5" t="s">
        <v>46</v>
      </c>
      <c r="F110" s="5" t="n">
        <v>5</v>
      </c>
      <c r="G110" s="5" t="s">
        <v>46</v>
      </c>
      <c r="H110" s="5" t="n">
        <v>5</v>
      </c>
      <c r="I110" s="5"/>
    </row>
    <row r="111" customFormat="false" ht="26.85" hidden="false" customHeight="false" outlineLevel="0" collapsed="false">
      <c r="A111" s="5" t="s">
        <v>186</v>
      </c>
      <c r="B111" s="5" t="s">
        <v>8</v>
      </c>
      <c r="C111" s="5" t="s">
        <v>44</v>
      </c>
      <c r="D111" s="5" t="s">
        <v>88</v>
      </c>
      <c r="E111" s="5" t="s">
        <v>46</v>
      </c>
      <c r="F111" s="5" t="n">
        <v>5</v>
      </c>
      <c r="G111" s="5" t="s">
        <v>46</v>
      </c>
      <c r="H111" s="5" t="n">
        <v>5</v>
      </c>
      <c r="I111" s="5"/>
    </row>
    <row r="112" customFormat="false" ht="26.85" hidden="false" customHeight="false" outlineLevel="0" collapsed="false">
      <c r="A112" s="5" t="s">
        <v>187</v>
      </c>
      <c r="B112" s="5" t="s">
        <v>8</v>
      </c>
      <c r="C112" s="5" t="s">
        <v>44</v>
      </c>
      <c r="D112" s="5" t="s">
        <v>90</v>
      </c>
      <c r="E112" s="5" t="s">
        <v>46</v>
      </c>
      <c r="F112" s="5" t="n">
        <v>5</v>
      </c>
      <c r="G112" s="5" t="s">
        <v>46</v>
      </c>
      <c r="H112" s="5" t="n">
        <v>5</v>
      </c>
      <c r="I112" s="5"/>
    </row>
    <row r="113" customFormat="false" ht="26.85" hidden="false" customHeight="false" outlineLevel="0" collapsed="false">
      <c r="A113" s="5" t="s">
        <v>188</v>
      </c>
      <c r="B113" s="5" t="s">
        <v>8</v>
      </c>
      <c r="C113" s="5" t="s">
        <v>44</v>
      </c>
      <c r="D113" s="5" t="s">
        <v>92</v>
      </c>
      <c r="E113" s="5" t="s">
        <v>46</v>
      </c>
      <c r="F113" s="5" t="n">
        <v>5</v>
      </c>
      <c r="G113" s="5" t="s">
        <v>46</v>
      </c>
      <c r="H113" s="5" t="n">
        <v>5</v>
      </c>
      <c r="I113" s="5"/>
    </row>
    <row r="114" customFormat="false" ht="26.85" hidden="false" customHeight="false" outlineLevel="0" collapsed="false">
      <c r="A114" s="5" t="s">
        <v>189</v>
      </c>
      <c r="B114" s="5" t="s">
        <v>8</v>
      </c>
      <c r="C114" s="5" t="s">
        <v>44</v>
      </c>
      <c r="D114" s="5" t="s">
        <v>190</v>
      </c>
      <c r="E114" s="5" t="s">
        <v>46</v>
      </c>
      <c r="F114" s="5" t="n">
        <v>5</v>
      </c>
      <c r="G114" s="5" t="s">
        <v>46</v>
      </c>
      <c r="H114" s="5" t="n">
        <v>5</v>
      </c>
      <c r="I114" s="5"/>
    </row>
    <row r="115" customFormat="false" ht="39.55" hidden="false" customHeight="false" outlineLevel="0" collapsed="false">
      <c r="A115" s="5" t="s">
        <v>191</v>
      </c>
      <c r="B115" s="5" t="s">
        <v>8</v>
      </c>
      <c r="C115" s="5" t="s">
        <v>44</v>
      </c>
      <c r="D115" s="5" t="s">
        <v>52</v>
      </c>
      <c r="E115" s="5" t="s">
        <v>46</v>
      </c>
      <c r="F115" s="5" t="n">
        <v>5</v>
      </c>
      <c r="G115" s="5" t="s">
        <v>46</v>
      </c>
      <c r="H115" s="5" t="n">
        <v>5</v>
      </c>
      <c r="I115" s="5"/>
    </row>
    <row r="116" customFormat="false" ht="26.85" hidden="false" customHeight="false" outlineLevel="0" collapsed="false">
      <c r="A116" s="5" t="s">
        <v>192</v>
      </c>
      <c r="B116" s="5" t="s">
        <v>8</v>
      </c>
      <c r="C116" s="5" t="s">
        <v>44</v>
      </c>
      <c r="D116" s="5" t="s">
        <v>54</v>
      </c>
      <c r="E116" s="5" t="s">
        <v>46</v>
      </c>
      <c r="F116" s="5" t="n">
        <v>5</v>
      </c>
      <c r="G116" s="5" t="s">
        <v>46</v>
      </c>
      <c r="H116" s="5" t="n">
        <v>5</v>
      </c>
      <c r="I116" s="5"/>
    </row>
    <row r="117" customFormat="false" ht="26.85" hidden="false" customHeight="false" outlineLevel="0" collapsed="false">
      <c r="A117" s="5" t="s">
        <v>193</v>
      </c>
      <c r="B117" s="5" t="s">
        <v>8</v>
      </c>
      <c r="C117" s="5" t="s">
        <v>44</v>
      </c>
      <c r="D117" s="5" t="s">
        <v>56</v>
      </c>
      <c r="E117" s="5" t="s">
        <v>46</v>
      </c>
      <c r="F117" s="5" t="n">
        <v>5</v>
      </c>
      <c r="G117" s="5" t="s">
        <v>46</v>
      </c>
      <c r="H117" s="5" t="n">
        <v>5</v>
      </c>
      <c r="I117" s="5"/>
    </row>
    <row r="118" customFormat="false" ht="26.85" hidden="false" customHeight="false" outlineLevel="0" collapsed="false">
      <c r="A118" s="5" t="s">
        <v>194</v>
      </c>
      <c r="B118" s="5" t="s">
        <v>8</v>
      </c>
      <c r="C118" s="5" t="s">
        <v>44</v>
      </c>
      <c r="D118" s="5" t="s">
        <v>58</v>
      </c>
      <c r="E118" s="5" t="s">
        <v>46</v>
      </c>
      <c r="F118" s="5" t="n">
        <v>5</v>
      </c>
      <c r="G118" s="5" t="s">
        <v>46</v>
      </c>
      <c r="H118" s="5" t="n">
        <v>5</v>
      </c>
      <c r="I118" s="5"/>
    </row>
    <row r="119" customFormat="false" ht="26.85" hidden="false" customHeight="false" outlineLevel="0" collapsed="false">
      <c r="A119" s="5" t="s">
        <v>195</v>
      </c>
      <c r="B119" s="5" t="s">
        <v>8</v>
      </c>
      <c r="C119" s="5" t="s">
        <v>44</v>
      </c>
      <c r="D119" s="5" t="s">
        <v>60</v>
      </c>
      <c r="E119" s="5" t="s">
        <v>46</v>
      </c>
      <c r="F119" s="5" t="n">
        <v>5</v>
      </c>
      <c r="G119" s="5" t="s">
        <v>46</v>
      </c>
      <c r="H119" s="5" t="n">
        <v>5</v>
      </c>
      <c r="I119" s="5"/>
    </row>
    <row r="120" customFormat="false" ht="26.85" hidden="false" customHeight="false" outlineLevel="0" collapsed="false">
      <c r="A120" s="5" t="s">
        <v>196</v>
      </c>
      <c r="B120" s="5" t="s">
        <v>8</v>
      </c>
      <c r="C120" s="5" t="s">
        <v>44</v>
      </c>
      <c r="D120" s="5" t="s">
        <v>62</v>
      </c>
      <c r="E120" s="5" t="s">
        <v>46</v>
      </c>
      <c r="F120" s="5" t="n">
        <v>5</v>
      </c>
      <c r="G120" s="5" t="s">
        <v>46</v>
      </c>
      <c r="H120" s="5" t="n">
        <v>5</v>
      </c>
      <c r="I120" s="5"/>
    </row>
    <row r="121" customFormat="false" ht="26.85" hidden="false" customHeight="false" outlineLevel="0" collapsed="false">
      <c r="A121" s="5" t="s">
        <v>197</v>
      </c>
      <c r="B121" s="5" t="s">
        <v>8</v>
      </c>
      <c r="C121" s="5" t="s">
        <v>44</v>
      </c>
      <c r="D121" s="5" t="s">
        <v>64</v>
      </c>
      <c r="E121" s="5" t="s">
        <v>46</v>
      </c>
      <c r="F121" s="5" t="n">
        <v>5</v>
      </c>
      <c r="G121" s="5" t="s">
        <v>46</v>
      </c>
      <c r="H121" s="5" t="n">
        <v>5</v>
      </c>
      <c r="I121" s="5"/>
    </row>
    <row r="122" customFormat="false" ht="26.85" hidden="false" customHeight="false" outlineLevel="0" collapsed="false">
      <c r="A122" s="5" t="s">
        <v>198</v>
      </c>
      <c r="B122" s="5" t="s">
        <v>8</v>
      </c>
      <c r="C122" s="5" t="s">
        <v>44</v>
      </c>
      <c r="D122" s="5" t="s">
        <v>66</v>
      </c>
      <c r="E122" s="5" t="s">
        <v>46</v>
      </c>
      <c r="F122" s="5" t="n">
        <v>5</v>
      </c>
      <c r="G122" s="5" t="s">
        <v>46</v>
      </c>
      <c r="H122" s="5" t="n">
        <v>5</v>
      </c>
      <c r="I122" s="5"/>
    </row>
    <row r="123" customFormat="false" ht="26.85" hidden="false" customHeight="false" outlineLevel="0" collapsed="false">
      <c r="A123" s="5" t="s">
        <v>199</v>
      </c>
      <c r="B123" s="5" t="s">
        <v>8</v>
      </c>
      <c r="C123" s="5" t="s">
        <v>44</v>
      </c>
      <c r="D123" s="5" t="s">
        <v>68</v>
      </c>
      <c r="E123" s="5" t="s">
        <v>46</v>
      </c>
      <c r="F123" s="5" t="n">
        <v>5</v>
      </c>
      <c r="G123" s="5" t="s">
        <v>46</v>
      </c>
      <c r="H123" s="5" t="n">
        <v>5</v>
      </c>
      <c r="I123" s="5"/>
    </row>
    <row r="124" customFormat="false" ht="26.85" hidden="false" customHeight="false" outlineLevel="0" collapsed="false">
      <c r="A124" s="5" t="s">
        <v>200</v>
      </c>
      <c r="B124" s="5" t="s">
        <v>8</v>
      </c>
      <c r="C124" s="5" t="s">
        <v>44</v>
      </c>
      <c r="D124" s="5" t="s">
        <v>70</v>
      </c>
      <c r="E124" s="5" t="s">
        <v>46</v>
      </c>
      <c r="F124" s="5" t="n">
        <v>5</v>
      </c>
      <c r="G124" s="5" t="s">
        <v>46</v>
      </c>
      <c r="H124" s="5" t="n">
        <v>5</v>
      </c>
      <c r="I124" s="5"/>
    </row>
    <row r="125" customFormat="false" ht="26.85" hidden="false" customHeight="false" outlineLevel="0" collapsed="false">
      <c r="A125" s="5" t="s">
        <v>201</v>
      </c>
      <c r="B125" s="5" t="s">
        <v>8</v>
      </c>
      <c r="C125" s="5" t="s">
        <v>44</v>
      </c>
      <c r="D125" s="5" t="s">
        <v>72</v>
      </c>
      <c r="E125" s="5" t="s">
        <v>46</v>
      </c>
      <c r="F125" s="5" t="n">
        <v>5</v>
      </c>
      <c r="G125" s="5" t="s">
        <v>46</v>
      </c>
      <c r="H125" s="5" t="n">
        <v>5</v>
      </c>
      <c r="I125" s="5"/>
    </row>
    <row r="126" customFormat="false" ht="26.85" hidden="false" customHeight="false" outlineLevel="0" collapsed="false">
      <c r="A126" s="5" t="s">
        <v>202</v>
      </c>
      <c r="B126" s="5" t="s">
        <v>8</v>
      </c>
      <c r="C126" s="5" t="s">
        <v>44</v>
      </c>
      <c r="D126" s="5" t="s">
        <v>74</v>
      </c>
      <c r="E126" s="5" t="s">
        <v>46</v>
      </c>
      <c r="F126" s="5" t="n">
        <v>5</v>
      </c>
      <c r="G126" s="5" t="s">
        <v>46</v>
      </c>
      <c r="H126" s="5" t="n">
        <v>5</v>
      </c>
      <c r="I126" s="5"/>
    </row>
    <row r="127" customFormat="false" ht="26.85" hidden="false" customHeight="false" outlineLevel="0" collapsed="false">
      <c r="A127" s="5" t="s">
        <v>203</v>
      </c>
      <c r="B127" s="5" t="s">
        <v>8</v>
      </c>
      <c r="C127" s="5" t="s">
        <v>44</v>
      </c>
      <c r="D127" s="5" t="s">
        <v>76</v>
      </c>
      <c r="E127" s="5" t="s">
        <v>46</v>
      </c>
      <c r="F127" s="5" t="n">
        <v>5</v>
      </c>
      <c r="G127" s="5" t="s">
        <v>46</v>
      </c>
      <c r="H127" s="5" t="n">
        <v>5</v>
      </c>
      <c r="I127" s="5"/>
    </row>
    <row r="128" customFormat="false" ht="26.85" hidden="false" customHeight="false" outlineLevel="0" collapsed="false">
      <c r="A128" s="5" t="s">
        <v>204</v>
      </c>
      <c r="B128" s="5" t="s">
        <v>8</v>
      </c>
      <c r="C128" s="5" t="s">
        <v>44</v>
      </c>
      <c r="D128" s="5" t="s">
        <v>78</v>
      </c>
      <c r="E128" s="5" t="s">
        <v>46</v>
      </c>
      <c r="F128" s="5" t="n">
        <v>5</v>
      </c>
      <c r="G128" s="5" t="s">
        <v>46</v>
      </c>
      <c r="H128" s="5" t="n">
        <v>5</v>
      </c>
      <c r="I128" s="5"/>
    </row>
    <row r="129" customFormat="false" ht="26.85" hidden="false" customHeight="false" outlineLevel="0" collapsed="false">
      <c r="A129" s="5" t="s">
        <v>205</v>
      </c>
      <c r="B129" s="5" t="s">
        <v>8</v>
      </c>
      <c r="C129" s="5" t="s">
        <v>44</v>
      </c>
      <c r="D129" s="5" t="s">
        <v>80</v>
      </c>
      <c r="E129" s="5" t="s">
        <v>46</v>
      </c>
      <c r="F129" s="5" t="n">
        <v>5</v>
      </c>
      <c r="G129" s="5" t="s">
        <v>46</v>
      </c>
      <c r="H129" s="5" t="n">
        <v>5</v>
      </c>
      <c r="I129" s="5"/>
    </row>
    <row r="130" customFormat="false" ht="26.85" hidden="false" customHeight="false" outlineLevel="0" collapsed="false">
      <c r="A130" s="5" t="s">
        <v>206</v>
      </c>
      <c r="B130" s="5" t="s">
        <v>8</v>
      </c>
      <c r="C130" s="5" t="s">
        <v>44</v>
      </c>
      <c r="D130" s="5" t="s">
        <v>207</v>
      </c>
      <c r="E130" s="5" t="s">
        <v>46</v>
      </c>
      <c r="F130" s="5" t="n">
        <v>5</v>
      </c>
      <c r="G130" s="5" t="s">
        <v>46</v>
      </c>
      <c r="H130" s="5" t="n">
        <v>5</v>
      </c>
      <c r="I130" s="5"/>
    </row>
    <row r="131" customFormat="false" ht="26.85" hidden="false" customHeight="false" outlineLevel="0" collapsed="false">
      <c r="A131" s="5" t="s">
        <v>208</v>
      </c>
      <c r="B131" s="5" t="s">
        <v>8</v>
      </c>
      <c r="C131" s="5" t="s">
        <v>44</v>
      </c>
      <c r="D131" s="5" t="s">
        <v>84</v>
      </c>
      <c r="E131" s="5" t="s">
        <v>46</v>
      </c>
      <c r="F131" s="5" t="n">
        <v>5</v>
      </c>
      <c r="G131" s="5" t="s">
        <v>46</v>
      </c>
      <c r="H131" s="5" t="n">
        <v>5</v>
      </c>
      <c r="I131" s="5"/>
    </row>
    <row r="132" customFormat="false" ht="26.85" hidden="false" customHeight="false" outlineLevel="0" collapsed="false">
      <c r="A132" s="5" t="s">
        <v>209</v>
      </c>
      <c r="B132" s="5" t="s">
        <v>8</v>
      </c>
      <c r="C132" s="5" t="s">
        <v>44</v>
      </c>
      <c r="D132" s="5" t="s">
        <v>86</v>
      </c>
      <c r="E132" s="5" t="s">
        <v>46</v>
      </c>
      <c r="F132" s="5" t="n">
        <v>5</v>
      </c>
      <c r="G132" s="5" t="s">
        <v>46</v>
      </c>
      <c r="H132" s="5" t="n">
        <v>5</v>
      </c>
      <c r="I132" s="5"/>
    </row>
    <row r="133" customFormat="false" ht="26.85" hidden="false" customHeight="false" outlineLevel="0" collapsed="false">
      <c r="A133" s="5" t="s">
        <v>210</v>
      </c>
      <c r="B133" s="5" t="s">
        <v>8</v>
      </c>
      <c r="C133" s="5" t="s">
        <v>44</v>
      </c>
      <c r="D133" s="5" t="s">
        <v>88</v>
      </c>
      <c r="E133" s="5" t="s">
        <v>46</v>
      </c>
      <c r="F133" s="5" t="n">
        <v>5</v>
      </c>
      <c r="G133" s="5" t="s">
        <v>46</v>
      </c>
      <c r="H133" s="5" t="n">
        <v>5</v>
      </c>
      <c r="I133" s="5"/>
    </row>
    <row r="134" customFormat="false" ht="26.85" hidden="false" customHeight="false" outlineLevel="0" collapsed="false">
      <c r="A134" s="5" t="s">
        <v>211</v>
      </c>
      <c r="B134" s="5" t="s">
        <v>8</v>
      </c>
      <c r="C134" s="5" t="s">
        <v>44</v>
      </c>
      <c r="D134" s="5" t="s">
        <v>90</v>
      </c>
      <c r="E134" s="5" t="s">
        <v>46</v>
      </c>
      <c r="F134" s="5" t="n">
        <v>5</v>
      </c>
      <c r="G134" s="5" t="s">
        <v>46</v>
      </c>
      <c r="H134" s="5" t="n">
        <v>5</v>
      </c>
      <c r="I134" s="5"/>
    </row>
    <row r="135" customFormat="false" ht="26.85" hidden="false" customHeight="false" outlineLevel="0" collapsed="false">
      <c r="A135" s="5" t="s">
        <v>212</v>
      </c>
      <c r="B135" s="5" t="s">
        <v>8</v>
      </c>
      <c r="C135" s="5" t="s">
        <v>44</v>
      </c>
      <c r="D135" s="5" t="s">
        <v>92</v>
      </c>
      <c r="E135" s="5" t="s">
        <v>46</v>
      </c>
      <c r="F135" s="5" t="n">
        <v>5</v>
      </c>
      <c r="G135" s="5" t="s">
        <v>46</v>
      </c>
      <c r="H135" s="5" t="n">
        <v>5</v>
      </c>
      <c r="I135" s="5"/>
    </row>
    <row r="136" customFormat="false" ht="26.85" hidden="false" customHeight="false" outlineLevel="0" collapsed="false">
      <c r="A136" s="5" t="s">
        <v>213</v>
      </c>
      <c r="B136" s="5" t="s">
        <v>8</v>
      </c>
      <c r="C136" s="5" t="s">
        <v>44</v>
      </c>
      <c r="D136" s="5" t="s">
        <v>214</v>
      </c>
      <c r="E136" s="5" t="s">
        <v>46</v>
      </c>
      <c r="F136" s="5" t="n">
        <v>5</v>
      </c>
      <c r="G136" s="5" t="s">
        <v>46</v>
      </c>
      <c r="H136" s="5" t="n">
        <v>5</v>
      </c>
      <c r="I136" s="5"/>
    </row>
    <row r="137" customFormat="false" ht="39.55" hidden="false" customHeight="false" outlineLevel="0" collapsed="false">
      <c r="A137" s="5" t="s">
        <v>215</v>
      </c>
      <c r="B137" s="5" t="s">
        <v>8</v>
      </c>
      <c r="C137" s="5" t="s">
        <v>44</v>
      </c>
      <c r="D137" s="5" t="s">
        <v>52</v>
      </c>
      <c r="E137" s="5" t="s">
        <v>46</v>
      </c>
      <c r="F137" s="5" t="n">
        <v>5</v>
      </c>
      <c r="G137" s="5" t="s">
        <v>46</v>
      </c>
      <c r="H137" s="5" t="n">
        <v>5</v>
      </c>
      <c r="I137" s="5"/>
    </row>
    <row r="138" customFormat="false" ht="26.85" hidden="false" customHeight="false" outlineLevel="0" collapsed="false">
      <c r="A138" s="5" t="s">
        <v>216</v>
      </c>
      <c r="B138" s="5" t="s">
        <v>8</v>
      </c>
      <c r="C138" s="5" t="s">
        <v>44</v>
      </c>
      <c r="D138" s="5" t="s">
        <v>54</v>
      </c>
      <c r="E138" s="5" t="s">
        <v>46</v>
      </c>
      <c r="F138" s="5" t="n">
        <v>5</v>
      </c>
      <c r="G138" s="5" t="s">
        <v>46</v>
      </c>
      <c r="H138" s="5" t="n">
        <v>5</v>
      </c>
      <c r="I138" s="5"/>
    </row>
    <row r="139" customFormat="false" ht="26.85" hidden="false" customHeight="false" outlineLevel="0" collapsed="false">
      <c r="A139" s="5" t="s">
        <v>217</v>
      </c>
      <c r="B139" s="5" t="s">
        <v>8</v>
      </c>
      <c r="C139" s="5" t="s">
        <v>44</v>
      </c>
      <c r="D139" s="5" t="s">
        <v>56</v>
      </c>
      <c r="E139" s="5" t="s">
        <v>46</v>
      </c>
      <c r="F139" s="5" t="n">
        <v>5</v>
      </c>
      <c r="G139" s="5" t="s">
        <v>46</v>
      </c>
      <c r="H139" s="5" t="n">
        <v>5</v>
      </c>
      <c r="I139" s="5"/>
    </row>
    <row r="140" customFormat="false" ht="26.85" hidden="false" customHeight="false" outlineLevel="0" collapsed="false">
      <c r="A140" s="5" t="s">
        <v>218</v>
      </c>
      <c r="B140" s="5" t="s">
        <v>8</v>
      </c>
      <c r="C140" s="5" t="s">
        <v>44</v>
      </c>
      <c r="D140" s="5" t="s">
        <v>58</v>
      </c>
      <c r="E140" s="5" t="s">
        <v>46</v>
      </c>
      <c r="F140" s="5" t="n">
        <v>5</v>
      </c>
      <c r="G140" s="5" t="s">
        <v>46</v>
      </c>
      <c r="H140" s="5" t="n">
        <v>5</v>
      </c>
      <c r="I140" s="5"/>
    </row>
    <row r="141" customFormat="false" ht="26.85" hidden="false" customHeight="false" outlineLevel="0" collapsed="false">
      <c r="A141" s="5" t="s">
        <v>219</v>
      </c>
      <c r="B141" s="5" t="s">
        <v>8</v>
      </c>
      <c r="C141" s="5" t="s">
        <v>44</v>
      </c>
      <c r="D141" s="5" t="s">
        <v>60</v>
      </c>
      <c r="E141" s="5" t="s">
        <v>46</v>
      </c>
      <c r="F141" s="5" t="n">
        <v>5</v>
      </c>
      <c r="G141" s="5" t="s">
        <v>46</v>
      </c>
      <c r="H141" s="5" t="n">
        <v>5</v>
      </c>
      <c r="I141" s="5"/>
    </row>
    <row r="142" customFormat="false" ht="26.85" hidden="false" customHeight="false" outlineLevel="0" collapsed="false">
      <c r="A142" s="5" t="s">
        <v>220</v>
      </c>
      <c r="B142" s="5" t="s">
        <v>8</v>
      </c>
      <c r="C142" s="5" t="s">
        <v>44</v>
      </c>
      <c r="D142" s="5" t="s">
        <v>62</v>
      </c>
      <c r="E142" s="5" t="s">
        <v>46</v>
      </c>
      <c r="F142" s="5" t="n">
        <v>5</v>
      </c>
      <c r="G142" s="5" t="s">
        <v>46</v>
      </c>
      <c r="H142" s="5" t="n">
        <v>5</v>
      </c>
      <c r="I142" s="5"/>
    </row>
    <row r="143" customFormat="false" ht="26.85" hidden="false" customHeight="false" outlineLevel="0" collapsed="false">
      <c r="A143" s="5" t="s">
        <v>221</v>
      </c>
      <c r="B143" s="5" t="s">
        <v>8</v>
      </c>
      <c r="C143" s="5" t="s">
        <v>44</v>
      </c>
      <c r="D143" s="5" t="s">
        <v>64</v>
      </c>
      <c r="E143" s="5" t="s">
        <v>46</v>
      </c>
      <c r="F143" s="5" t="n">
        <v>5</v>
      </c>
      <c r="G143" s="5" t="s">
        <v>46</v>
      </c>
      <c r="H143" s="5" t="n">
        <v>5</v>
      </c>
      <c r="I143" s="5"/>
    </row>
    <row r="144" customFormat="false" ht="26.85" hidden="false" customHeight="false" outlineLevel="0" collapsed="false">
      <c r="A144" s="5" t="s">
        <v>222</v>
      </c>
      <c r="B144" s="5" t="s">
        <v>8</v>
      </c>
      <c r="C144" s="5" t="s">
        <v>44</v>
      </c>
      <c r="D144" s="5" t="s">
        <v>66</v>
      </c>
      <c r="E144" s="5" t="s">
        <v>46</v>
      </c>
      <c r="F144" s="5" t="n">
        <v>5</v>
      </c>
      <c r="G144" s="5" t="s">
        <v>46</v>
      </c>
      <c r="H144" s="5" t="n">
        <v>5</v>
      </c>
      <c r="I144" s="5"/>
    </row>
    <row r="145" customFormat="false" ht="26.85" hidden="false" customHeight="false" outlineLevel="0" collapsed="false">
      <c r="A145" s="5" t="s">
        <v>223</v>
      </c>
      <c r="B145" s="5" t="s">
        <v>8</v>
      </c>
      <c r="C145" s="5" t="s">
        <v>44</v>
      </c>
      <c r="D145" s="5" t="s">
        <v>68</v>
      </c>
      <c r="E145" s="5" t="s">
        <v>46</v>
      </c>
      <c r="F145" s="5" t="n">
        <v>5</v>
      </c>
      <c r="G145" s="5" t="s">
        <v>46</v>
      </c>
      <c r="H145" s="5" t="n">
        <v>5</v>
      </c>
      <c r="I145" s="5"/>
    </row>
    <row r="146" customFormat="false" ht="26.85" hidden="false" customHeight="false" outlineLevel="0" collapsed="false">
      <c r="A146" s="5" t="s">
        <v>224</v>
      </c>
      <c r="B146" s="5" t="s">
        <v>8</v>
      </c>
      <c r="C146" s="5" t="s">
        <v>44</v>
      </c>
      <c r="D146" s="5" t="s">
        <v>70</v>
      </c>
      <c r="E146" s="5" t="s">
        <v>46</v>
      </c>
      <c r="F146" s="5" t="n">
        <v>5</v>
      </c>
      <c r="G146" s="5" t="s">
        <v>46</v>
      </c>
      <c r="H146" s="5" t="n">
        <v>5</v>
      </c>
      <c r="I146" s="5"/>
    </row>
    <row r="147" customFormat="false" ht="26.85" hidden="false" customHeight="false" outlineLevel="0" collapsed="false">
      <c r="A147" s="5" t="s">
        <v>225</v>
      </c>
      <c r="B147" s="5" t="s">
        <v>8</v>
      </c>
      <c r="C147" s="5" t="s">
        <v>44</v>
      </c>
      <c r="D147" s="5" t="s">
        <v>72</v>
      </c>
      <c r="E147" s="5" t="s">
        <v>46</v>
      </c>
      <c r="F147" s="5" t="n">
        <v>5</v>
      </c>
      <c r="G147" s="5" t="s">
        <v>46</v>
      </c>
      <c r="H147" s="5" t="n">
        <v>5</v>
      </c>
      <c r="I147" s="5"/>
    </row>
    <row r="148" customFormat="false" ht="26.85" hidden="false" customHeight="false" outlineLevel="0" collapsed="false">
      <c r="A148" s="5" t="s">
        <v>226</v>
      </c>
      <c r="B148" s="5" t="s">
        <v>8</v>
      </c>
      <c r="C148" s="5" t="s">
        <v>44</v>
      </c>
      <c r="D148" s="5" t="s">
        <v>74</v>
      </c>
      <c r="E148" s="5" t="s">
        <v>46</v>
      </c>
      <c r="F148" s="5" t="n">
        <v>5</v>
      </c>
      <c r="G148" s="5" t="s">
        <v>46</v>
      </c>
      <c r="H148" s="5" t="n">
        <v>5</v>
      </c>
      <c r="I148" s="5"/>
    </row>
    <row r="149" customFormat="false" ht="26.85" hidden="false" customHeight="false" outlineLevel="0" collapsed="false">
      <c r="A149" s="5" t="s">
        <v>227</v>
      </c>
      <c r="B149" s="5" t="s">
        <v>8</v>
      </c>
      <c r="C149" s="5" t="s">
        <v>44</v>
      </c>
      <c r="D149" s="5" t="s">
        <v>76</v>
      </c>
      <c r="E149" s="5" t="s">
        <v>46</v>
      </c>
      <c r="F149" s="5" t="n">
        <v>5</v>
      </c>
      <c r="G149" s="5" t="s">
        <v>46</v>
      </c>
      <c r="H149" s="5" t="n">
        <v>5</v>
      </c>
      <c r="I149" s="5"/>
    </row>
    <row r="150" customFormat="false" ht="26.85" hidden="false" customHeight="false" outlineLevel="0" collapsed="false">
      <c r="A150" s="5" t="s">
        <v>228</v>
      </c>
      <c r="B150" s="5" t="s">
        <v>8</v>
      </c>
      <c r="C150" s="5" t="s">
        <v>44</v>
      </c>
      <c r="D150" s="5" t="s">
        <v>78</v>
      </c>
      <c r="E150" s="5" t="s">
        <v>46</v>
      </c>
      <c r="F150" s="5" t="n">
        <v>5</v>
      </c>
      <c r="G150" s="5" t="s">
        <v>46</v>
      </c>
      <c r="H150" s="5" t="n">
        <v>5</v>
      </c>
      <c r="I150" s="5"/>
    </row>
    <row r="151" customFormat="false" ht="26.85" hidden="false" customHeight="false" outlineLevel="0" collapsed="false">
      <c r="A151" s="5" t="s">
        <v>229</v>
      </c>
      <c r="B151" s="5" t="s">
        <v>8</v>
      </c>
      <c r="C151" s="5" t="s">
        <v>44</v>
      </c>
      <c r="D151" s="5" t="s">
        <v>80</v>
      </c>
      <c r="E151" s="5" t="s">
        <v>46</v>
      </c>
      <c r="F151" s="5" t="n">
        <v>5</v>
      </c>
      <c r="G151" s="5" t="s">
        <v>46</v>
      </c>
      <c r="H151" s="5" t="n">
        <v>5</v>
      </c>
      <c r="I151" s="5"/>
    </row>
    <row r="152" customFormat="false" ht="26.85" hidden="false" customHeight="false" outlineLevel="0" collapsed="false">
      <c r="A152" s="5" t="s">
        <v>230</v>
      </c>
      <c r="B152" s="5" t="s">
        <v>8</v>
      </c>
      <c r="C152" s="5" t="s">
        <v>44</v>
      </c>
      <c r="D152" s="5" t="s">
        <v>231</v>
      </c>
      <c r="E152" s="5" t="s">
        <v>46</v>
      </c>
      <c r="F152" s="5" t="n">
        <v>5</v>
      </c>
      <c r="G152" s="5" t="s">
        <v>46</v>
      </c>
      <c r="H152" s="5" t="n">
        <v>5</v>
      </c>
      <c r="I152" s="5"/>
    </row>
    <row r="153" customFormat="false" ht="26.85" hidden="false" customHeight="false" outlineLevel="0" collapsed="false">
      <c r="A153" s="5" t="s">
        <v>232</v>
      </c>
      <c r="B153" s="5" t="s">
        <v>8</v>
      </c>
      <c r="C153" s="5" t="s">
        <v>44</v>
      </c>
      <c r="D153" s="5" t="s">
        <v>84</v>
      </c>
      <c r="E153" s="5" t="s">
        <v>46</v>
      </c>
      <c r="F153" s="5" t="n">
        <v>5</v>
      </c>
      <c r="G153" s="5" t="s">
        <v>46</v>
      </c>
      <c r="H153" s="5" t="n">
        <v>5</v>
      </c>
      <c r="I153" s="5"/>
    </row>
    <row r="154" customFormat="false" ht="26.85" hidden="false" customHeight="false" outlineLevel="0" collapsed="false">
      <c r="A154" s="5" t="s">
        <v>233</v>
      </c>
      <c r="B154" s="5" t="s">
        <v>8</v>
      </c>
      <c r="C154" s="5" t="s">
        <v>44</v>
      </c>
      <c r="D154" s="5" t="s">
        <v>86</v>
      </c>
      <c r="E154" s="5" t="s">
        <v>46</v>
      </c>
      <c r="F154" s="5" t="n">
        <v>5</v>
      </c>
      <c r="G154" s="5" t="s">
        <v>46</v>
      </c>
      <c r="H154" s="5" t="n">
        <v>5</v>
      </c>
      <c r="I154" s="5"/>
    </row>
    <row r="155" customFormat="false" ht="26.85" hidden="false" customHeight="false" outlineLevel="0" collapsed="false">
      <c r="A155" s="5" t="s">
        <v>234</v>
      </c>
      <c r="B155" s="5" t="s">
        <v>8</v>
      </c>
      <c r="C155" s="5" t="s">
        <v>44</v>
      </c>
      <c r="D155" s="5" t="s">
        <v>88</v>
      </c>
      <c r="E155" s="5" t="s">
        <v>46</v>
      </c>
      <c r="F155" s="5" t="n">
        <v>5</v>
      </c>
      <c r="G155" s="5" t="s">
        <v>46</v>
      </c>
      <c r="H155" s="5" t="n">
        <v>5</v>
      </c>
      <c r="I155" s="5"/>
    </row>
    <row r="156" customFormat="false" ht="26.85" hidden="false" customHeight="false" outlineLevel="0" collapsed="false">
      <c r="A156" s="5" t="s">
        <v>235</v>
      </c>
      <c r="B156" s="5" t="s">
        <v>8</v>
      </c>
      <c r="C156" s="5" t="s">
        <v>44</v>
      </c>
      <c r="D156" s="5" t="s">
        <v>90</v>
      </c>
      <c r="E156" s="5" t="s">
        <v>46</v>
      </c>
      <c r="F156" s="5" t="n">
        <v>5</v>
      </c>
      <c r="G156" s="5" t="s">
        <v>46</v>
      </c>
      <c r="H156" s="5" t="n">
        <v>5</v>
      </c>
      <c r="I156" s="5"/>
    </row>
    <row r="157" customFormat="false" ht="26.85" hidden="false" customHeight="false" outlineLevel="0" collapsed="false">
      <c r="A157" s="5" t="s">
        <v>236</v>
      </c>
      <c r="B157" s="5" t="s">
        <v>8</v>
      </c>
      <c r="C157" s="5" t="s">
        <v>44</v>
      </c>
      <c r="D157" s="5" t="s">
        <v>92</v>
      </c>
      <c r="E157" s="5" t="s">
        <v>46</v>
      </c>
      <c r="F157" s="5" t="n">
        <v>5</v>
      </c>
      <c r="G157" s="5" t="s">
        <v>46</v>
      </c>
      <c r="H157" s="5" t="n">
        <v>5</v>
      </c>
      <c r="I157" s="5"/>
    </row>
    <row r="158" customFormat="false" ht="26.85" hidden="false" customHeight="false" outlineLevel="0" collapsed="false">
      <c r="A158" s="5" t="s">
        <v>237</v>
      </c>
      <c r="B158" s="5" t="s">
        <v>8</v>
      </c>
      <c r="C158" s="5" t="s">
        <v>44</v>
      </c>
      <c r="D158" s="5" t="s">
        <v>238</v>
      </c>
      <c r="E158" s="5" t="s">
        <v>46</v>
      </c>
      <c r="F158" s="5" t="n">
        <v>5</v>
      </c>
      <c r="G158" s="5" t="s">
        <v>46</v>
      </c>
      <c r="H158" s="5" t="n">
        <v>5</v>
      </c>
      <c r="I158" s="5"/>
    </row>
    <row r="159" customFormat="false" ht="26.85" hidden="false" customHeight="false" outlineLevel="0" collapsed="false">
      <c r="A159" s="5" t="s">
        <v>239</v>
      </c>
      <c r="B159" s="5" t="s">
        <v>8</v>
      </c>
      <c r="C159" s="5" t="s">
        <v>44</v>
      </c>
      <c r="D159" s="5" t="s">
        <v>240</v>
      </c>
      <c r="E159" s="5" t="s">
        <v>46</v>
      </c>
      <c r="F159" s="5" t="n">
        <v>5</v>
      </c>
      <c r="G159" s="5" t="s">
        <v>46</v>
      </c>
      <c r="H159" s="5" t="n">
        <v>5</v>
      </c>
      <c r="I159" s="5"/>
    </row>
    <row r="160" customFormat="false" ht="26.85" hidden="false" customHeight="false" outlineLevel="0" collapsed="false">
      <c r="A160" s="5" t="s">
        <v>241</v>
      </c>
      <c r="B160" s="5" t="s">
        <v>8</v>
      </c>
      <c r="C160" s="5" t="s">
        <v>44</v>
      </c>
      <c r="D160" s="5" t="s">
        <v>242</v>
      </c>
      <c r="E160" s="5" t="s">
        <v>46</v>
      </c>
      <c r="F160" s="5" t="n">
        <v>5</v>
      </c>
      <c r="G160" s="5" t="s">
        <v>46</v>
      </c>
      <c r="H160" s="5" t="n">
        <v>5</v>
      </c>
      <c r="I160" s="5"/>
    </row>
    <row r="161" customFormat="false" ht="26.85" hidden="false" customHeight="false" outlineLevel="0" collapsed="false">
      <c r="A161" s="5" t="s">
        <v>243</v>
      </c>
      <c r="B161" s="5" t="s">
        <v>9</v>
      </c>
      <c r="C161" s="5" t="s">
        <v>244</v>
      </c>
      <c r="D161" s="5" t="s">
        <v>245</v>
      </c>
      <c r="E161" s="5" t="s">
        <v>46</v>
      </c>
      <c r="F161" s="5" t="n">
        <v>5</v>
      </c>
      <c r="G161" s="5" t="s">
        <v>46</v>
      </c>
      <c r="H161" s="5" t="n">
        <v>5</v>
      </c>
      <c r="I161" s="5"/>
    </row>
    <row r="162" customFormat="false" ht="26.85" hidden="false" customHeight="false" outlineLevel="0" collapsed="false">
      <c r="A162" s="5" t="s">
        <v>246</v>
      </c>
      <c r="B162" s="5" t="s">
        <v>9</v>
      </c>
      <c r="C162" s="5" t="s">
        <v>244</v>
      </c>
      <c r="D162" s="5" t="s">
        <v>247</v>
      </c>
      <c r="E162" s="5" t="s">
        <v>46</v>
      </c>
      <c r="F162" s="5" t="n">
        <v>5</v>
      </c>
      <c r="G162" s="5" t="s">
        <v>46</v>
      </c>
      <c r="H162" s="5" t="n">
        <v>5</v>
      </c>
      <c r="I162" s="5"/>
    </row>
    <row r="163" customFormat="false" ht="26.85" hidden="false" customHeight="false" outlineLevel="0" collapsed="false">
      <c r="A163" s="5" t="s">
        <v>248</v>
      </c>
      <c r="B163" s="5" t="s">
        <v>9</v>
      </c>
      <c r="C163" s="5" t="s">
        <v>244</v>
      </c>
      <c r="D163" s="5" t="s">
        <v>249</v>
      </c>
      <c r="E163" s="5" t="s">
        <v>46</v>
      </c>
      <c r="F163" s="5" t="n">
        <v>5</v>
      </c>
      <c r="G163" s="5" t="s">
        <v>46</v>
      </c>
      <c r="H163" s="5" t="n">
        <v>5</v>
      </c>
      <c r="I163" s="5"/>
    </row>
    <row r="164" customFormat="false" ht="26.85" hidden="false" customHeight="false" outlineLevel="0" collapsed="false">
      <c r="A164" s="5" t="s">
        <v>250</v>
      </c>
      <c r="B164" s="5" t="s">
        <v>9</v>
      </c>
      <c r="C164" s="5" t="s">
        <v>244</v>
      </c>
      <c r="D164" s="5" t="s">
        <v>251</v>
      </c>
      <c r="E164" s="5" t="s">
        <v>46</v>
      </c>
      <c r="F164" s="5" t="n">
        <v>5</v>
      </c>
      <c r="G164" s="5" t="s">
        <v>46</v>
      </c>
      <c r="H164" s="5" t="n">
        <v>5</v>
      </c>
      <c r="I164" s="5"/>
    </row>
    <row r="165" customFormat="false" ht="26.85" hidden="false" customHeight="false" outlineLevel="0" collapsed="false">
      <c r="A165" s="5" t="s">
        <v>252</v>
      </c>
      <c r="B165" s="5" t="s">
        <v>9</v>
      </c>
      <c r="C165" s="5" t="s">
        <v>244</v>
      </c>
      <c r="D165" s="5" t="s">
        <v>56</v>
      </c>
      <c r="E165" s="5" t="s">
        <v>46</v>
      </c>
      <c r="F165" s="5" t="n">
        <v>5</v>
      </c>
      <c r="G165" s="5" t="s">
        <v>46</v>
      </c>
      <c r="H165" s="5" t="n">
        <v>5</v>
      </c>
      <c r="I165" s="5"/>
    </row>
    <row r="166" customFormat="false" ht="26.85" hidden="false" customHeight="false" outlineLevel="0" collapsed="false">
      <c r="A166" s="5" t="s">
        <v>253</v>
      </c>
      <c r="B166" s="5" t="s">
        <v>9</v>
      </c>
      <c r="C166" s="5" t="s">
        <v>244</v>
      </c>
      <c r="D166" s="5" t="s">
        <v>254</v>
      </c>
      <c r="E166" s="5" t="s">
        <v>46</v>
      </c>
      <c r="F166" s="5" t="n">
        <v>5</v>
      </c>
      <c r="G166" s="5" t="s">
        <v>46</v>
      </c>
      <c r="H166" s="5" t="n">
        <v>5</v>
      </c>
      <c r="I166" s="5"/>
    </row>
    <row r="167" customFormat="false" ht="26.85" hidden="false" customHeight="false" outlineLevel="0" collapsed="false">
      <c r="A167" s="5" t="s">
        <v>255</v>
      </c>
      <c r="B167" s="5" t="s">
        <v>9</v>
      </c>
      <c r="C167" s="5" t="s">
        <v>244</v>
      </c>
      <c r="D167" s="5" t="s">
        <v>256</v>
      </c>
      <c r="E167" s="5" t="s">
        <v>46</v>
      </c>
      <c r="F167" s="5" t="n">
        <v>5</v>
      </c>
      <c r="G167" s="5" t="s">
        <v>46</v>
      </c>
      <c r="H167" s="5" t="n">
        <v>5</v>
      </c>
      <c r="I167" s="5"/>
    </row>
    <row r="168" customFormat="false" ht="26.85" hidden="false" customHeight="false" outlineLevel="0" collapsed="false">
      <c r="A168" s="5" t="s">
        <v>257</v>
      </c>
      <c r="B168" s="5" t="s">
        <v>9</v>
      </c>
      <c r="C168" s="5" t="s">
        <v>244</v>
      </c>
      <c r="D168" s="5" t="s">
        <v>258</v>
      </c>
      <c r="E168" s="5" t="s">
        <v>46</v>
      </c>
      <c r="F168" s="5" t="n">
        <v>5</v>
      </c>
      <c r="G168" s="5" t="s">
        <v>46</v>
      </c>
      <c r="H168" s="5" t="n">
        <v>5</v>
      </c>
      <c r="I168" s="5"/>
    </row>
    <row r="169" customFormat="false" ht="26.85" hidden="false" customHeight="false" outlineLevel="0" collapsed="false">
      <c r="A169" s="5" t="s">
        <v>259</v>
      </c>
      <c r="B169" s="5" t="s">
        <v>9</v>
      </c>
      <c r="C169" s="5" t="s">
        <v>244</v>
      </c>
      <c r="D169" s="5" t="s">
        <v>260</v>
      </c>
      <c r="E169" s="5" t="s">
        <v>46</v>
      </c>
      <c r="F169" s="5" t="n">
        <v>5</v>
      </c>
      <c r="G169" s="5" t="s">
        <v>46</v>
      </c>
      <c r="H169" s="5" t="n">
        <v>5</v>
      </c>
      <c r="I169" s="5"/>
    </row>
    <row r="170" customFormat="false" ht="26.85" hidden="false" customHeight="false" outlineLevel="0" collapsed="false">
      <c r="A170" s="5" t="s">
        <v>261</v>
      </c>
      <c r="B170" s="5" t="s">
        <v>9</v>
      </c>
      <c r="C170" s="5" t="s">
        <v>244</v>
      </c>
      <c r="D170" s="5" t="s">
        <v>262</v>
      </c>
      <c r="E170" s="5" t="s">
        <v>46</v>
      </c>
      <c r="F170" s="5" t="n">
        <v>5</v>
      </c>
      <c r="G170" s="5" t="s">
        <v>46</v>
      </c>
      <c r="H170" s="5" t="n">
        <v>5</v>
      </c>
      <c r="I170" s="5"/>
    </row>
    <row r="171" customFormat="false" ht="26.85" hidden="false" customHeight="false" outlineLevel="0" collapsed="false">
      <c r="A171" s="5" t="s">
        <v>263</v>
      </c>
      <c r="B171" s="5" t="s">
        <v>9</v>
      </c>
      <c r="C171" s="5" t="s">
        <v>244</v>
      </c>
      <c r="D171" s="5" t="s">
        <v>264</v>
      </c>
      <c r="E171" s="5" t="s">
        <v>46</v>
      </c>
      <c r="F171" s="5" t="n">
        <v>5</v>
      </c>
      <c r="G171" s="5" t="s">
        <v>46</v>
      </c>
      <c r="H171" s="5" t="n">
        <v>5</v>
      </c>
      <c r="I171" s="5"/>
    </row>
    <row r="172" customFormat="false" ht="26.85" hidden="false" customHeight="false" outlineLevel="0" collapsed="false">
      <c r="A172" s="5" t="s">
        <v>265</v>
      </c>
      <c r="B172" s="5" t="s">
        <v>9</v>
      </c>
      <c r="C172" s="5" t="s">
        <v>244</v>
      </c>
      <c r="D172" s="5" t="s">
        <v>266</v>
      </c>
      <c r="E172" s="5" t="s">
        <v>46</v>
      </c>
      <c r="F172" s="5" t="n">
        <v>5</v>
      </c>
      <c r="G172" s="5" t="s">
        <v>46</v>
      </c>
      <c r="H172" s="5" t="n">
        <v>5</v>
      </c>
      <c r="I172" s="5"/>
    </row>
    <row r="173" customFormat="false" ht="26.85" hidden="false" customHeight="false" outlineLevel="0" collapsed="false">
      <c r="A173" s="5" t="s">
        <v>267</v>
      </c>
      <c r="B173" s="5" t="s">
        <v>9</v>
      </c>
      <c r="C173" s="5" t="s">
        <v>244</v>
      </c>
      <c r="D173" s="5" t="s">
        <v>268</v>
      </c>
      <c r="E173" s="5" t="s">
        <v>46</v>
      </c>
      <c r="F173" s="5" t="n">
        <v>5</v>
      </c>
      <c r="G173" s="5" t="s">
        <v>46</v>
      </c>
      <c r="H173" s="5" t="n">
        <v>5</v>
      </c>
      <c r="I173" s="5"/>
    </row>
    <row r="174" customFormat="false" ht="26.85" hidden="false" customHeight="false" outlineLevel="0" collapsed="false">
      <c r="A174" s="5" t="s">
        <v>269</v>
      </c>
      <c r="B174" s="5" t="s">
        <v>9</v>
      </c>
      <c r="C174" s="5" t="s">
        <v>244</v>
      </c>
      <c r="D174" s="5" t="s">
        <v>270</v>
      </c>
      <c r="E174" s="5" t="s">
        <v>46</v>
      </c>
      <c r="F174" s="5" t="n">
        <v>5</v>
      </c>
      <c r="G174" s="5" t="s">
        <v>46</v>
      </c>
      <c r="H174" s="5" t="n">
        <v>5</v>
      </c>
      <c r="I174" s="5"/>
    </row>
    <row r="175" customFormat="false" ht="26.85" hidden="false" customHeight="false" outlineLevel="0" collapsed="false">
      <c r="A175" s="5" t="s">
        <v>271</v>
      </c>
      <c r="B175" s="5" t="s">
        <v>9</v>
      </c>
      <c r="C175" s="5" t="s">
        <v>244</v>
      </c>
      <c r="D175" s="5" t="s">
        <v>272</v>
      </c>
      <c r="E175" s="5" t="s">
        <v>46</v>
      </c>
      <c r="F175" s="5" t="n">
        <v>5</v>
      </c>
      <c r="G175" s="5" t="s">
        <v>46</v>
      </c>
      <c r="H175" s="5" t="n">
        <v>5</v>
      </c>
      <c r="I175" s="5"/>
    </row>
    <row r="176" customFormat="false" ht="26.85" hidden="false" customHeight="false" outlineLevel="0" collapsed="false">
      <c r="A176" s="5" t="s">
        <v>273</v>
      </c>
      <c r="B176" s="5" t="s">
        <v>9</v>
      </c>
      <c r="C176" s="5" t="s">
        <v>244</v>
      </c>
      <c r="D176" s="5" t="s">
        <v>274</v>
      </c>
      <c r="E176" s="5" t="s">
        <v>46</v>
      </c>
      <c r="F176" s="5" t="n">
        <v>5</v>
      </c>
      <c r="G176" s="5" t="s">
        <v>46</v>
      </c>
      <c r="H176" s="5" t="n">
        <v>5</v>
      </c>
      <c r="I176" s="5"/>
    </row>
    <row r="177" customFormat="false" ht="26.85" hidden="false" customHeight="false" outlineLevel="0" collapsed="false">
      <c r="A177" s="5" t="s">
        <v>275</v>
      </c>
      <c r="B177" s="5" t="s">
        <v>9</v>
      </c>
      <c r="C177" s="5" t="s">
        <v>244</v>
      </c>
      <c r="D177" s="5" t="s">
        <v>276</v>
      </c>
      <c r="E177" s="5" t="s">
        <v>46</v>
      </c>
      <c r="F177" s="5" t="n">
        <v>5</v>
      </c>
      <c r="G177" s="5" t="s">
        <v>46</v>
      </c>
      <c r="H177" s="5" t="n">
        <v>5</v>
      </c>
      <c r="I177" s="5"/>
    </row>
    <row r="178" customFormat="false" ht="26.85" hidden="false" customHeight="false" outlineLevel="0" collapsed="false">
      <c r="A178" s="5" t="s">
        <v>277</v>
      </c>
      <c r="B178" s="5" t="s">
        <v>9</v>
      </c>
      <c r="C178" s="5" t="s">
        <v>244</v>
      </c>
      <c r="D178" s="5" t="s">
        <v>278</v>
      </c>
      <c r="E178" s="5" t="s">
        <v>46</v>
      </c>
      <c r="F178" s="5" t="n">
        <v>5</v>
      </c>
      <c r="G178" s="5" t="s">
        <v>46</v>
      </c>
      <c r="H178" s="5" t="n">
        <v>5</v>
      </c>
      <c r="I178" s="5"/>
    </row>
    <row r="179" customFormat="false" ht="26.85" hidden="false" customHeight="false" outlineLevel="0" collapsed="false">
      <c r="A179" s="5" t="s">
        <v>279</v>
      </c>
      <c r="B179" s="5" t="s">
        <v>9</v>
      </c>
      <c r="C179" s="5" t="s">
        <v>244</v>
      </c>
      <c r="D179" s="5" t="s">
        <v>280</v>
      </c>
      <c r="E179" s="5" t="s">
        <v>46</v>
      </c>
      <c r="F179" s="5" t="n">
        <v>5</v>
      </c>
      <c r="G179" s="5" t="s">
        <v>46</v>
      </c>
      <c r="H179" s="5" t="n">
        <v>5</v>
      </c>
      <c r="I179" s="5"/>
    </row>
    <row r="180" customFormat="false" ht="26.85" hidden="false" customHeight="false" outlineLevel="0" collapsed="false">
      <c r="A180" s="5" t="s">
        <v>281</v>
      </c>
      <c r="B180" s="5" t="s">
        <v>9</v>
      </c>
      <c r="C180" s="5" t="s">
        <v>244</v>
      </c>
      <c r="D180" s="5" t="s">
        <v>282</v>
      </c>
      <c r="E180" s="5" t="s">
        <v>46</v>
      </c>
      <c r="F180" s="5" t="n">
        <v>5</v>
      </c>
      <c r="G180" s="5" t="s">
        <v>46</v>
      </c>
      <c r="H180" s="5" t="n">
        <v>5</v>
      </c>
      <c r="I180" s="5"/>
    </row>
    <row r="181" customFormat="false" ht="26.85" hidden="false" customHeight="false" outlineLevel="0" collapsed="false">
      <c r="A181" s="5" t="s">
        <v>283</v>
      </c>
      <c r="B181" s="5" t="s">
        <v>9</v>
      </c>
      <c r="C181" s="5" t="s">
        <v>244</v>
      </c>
      <c r="D181" s="5" t="s">
        <v>284</v>
      </c>
      <c r="E181" s="5" t="s">
        <v>46</v>
      </c>
      <c r="F181" s="5" t="n">
        <v>5</v>
      </c>
      <c r="G181" s="5" t="s">
        <v>46</v>
      </c>
      <c r="H181" s="5" t="n">
        <v>5</v>
      </c>
      <c r="I181" s="5"/>
    </row>
    <row r="182" customFormat="false" ht="26.85" hidden="false" customHeight="false" outlineLevel="0" collapsed="false">
      <c r="A182" s="5" t="s">
        <v>285</v>
      </c>
      <c r="B182" s="5" t="s">
        <v>9</v>
      </c>
      <c r="C182" s="5" t="s">
        <v>244</v>
      </c>
      <c r="D182" s="5" t="s">
        <v>286</v>
      </c>
      <c r="E182" s="5" t="s">
        <v>46</v>
      </c>
      <c r="F182" s="5" t="n">
        <v>5</v>
      </c>
      <c r="G182" s="5" t="s">
        <v>46</v>
      </c>
      <c r="H182" s="5" t="n">
        <v>5</v>
      </c>
      <c r="I182" s="5"/>
    </row>
    <row r="183" customFormat="false" ht="26.85" hidden="false" customHeight="false" outlineLevel="0" collapsed="false">
      <c r="A183" s="5" t="s">
        <v>287</v>
      </c>
      <c r="B183" s="5" t="s">
        <v>9</v>
      </c>
      <c r="C183" s="5" t="s">
        <v>244</v>
      </c>
      <c r="D183" s="5" t="s">
        <v>288</v>
      </c>
      <c r="E183" s="5" t="s">
        <v>46</v>
      </c>
      <c r="F183" s="5" t="n">
        <v>5</v>
      </c>
      <c r="G183" s="5" t="s">
        <v>46</v>
      </c>
      <c r="H183" s="5" t="n">
        <v>5</v>
      </c>
      <c r="I183" s="5"/>
    </row>
    <row r="184" customFormat="false" ht="26.85" hidden="false" customHeight="false" outlineLevel="0" collapsed="false">
      <c r="A184" s="5" t="s">
        <v>289</v>
      </c>
      <c r="B184" s="5" t="s">
        <v>9</v>
      </c>
      <c r="C184" s="5" t="s">
        <v>244</v>
      </c>
      <c r="D184" s="5" t="s">
        <v>290</v>
      </c>
      <c r="E184" s="5" t="s">
        <v>46</v>
      </c>
      <c r="F184" s="5" t="n">
        <v>5</v>
      </c>
      <c r="G184" s="5" t="s">
        <v>46</v>
      </c>
      <c r="H184" s="5" t="n">
        <v>5</v>
      </c>
      <c r="I184" s="5"/>
    </row>
    <row r="185" customFormat="false" ht="39.55" hidden="false" customHeight="false" outlineLevel="0" collapsed="false">
      <c r="A185" s="5" t="s">
        <v>291</v>
      </c>
      <c r="B185" s="5" t="s">
        <v>10</v>
      </c>
      <c r="C185" s="5" t="s">
        <v>292</v>
      </c>
      <c r="D185" s="5" t="s">
        <v>293</v>
      </c>
      <c r="E185" s="5" t="s">
        <v>46</v>
      </c>
      <c r="F185" s="5" t="n">
        <v>5</v>
      </c>
      <c r="G185" s="5" t="s">
        <v>46</v>
      </c>
      <c r="H185" s="5" t="n">
        <v>5</v>
      </c>
      <c r="I185" s="5"/>
    </row>
    <row r="186" customFormat="false" ht="39.55" hidden="false" customHeight="false" outlineLevel="0" collapsed="false">
      <c r="A186" s="5" t="s">
        <v>294</v>
      </c>
      <c r="B186" s="5" t="s">
        <v>10</v>
      </c>
      <c r="C186" s="5" t="s">
        <v>292</v>
      </c>
      <c r="D186" s="5" t="s">
        <v>295</v>
      </c>
      <c r="E186" s="5" t="s">
        <v>46</v>
      </c>
      <c r="F186" s="5" t="n">
        <v>5</v>
      </c>
      <c r="G186" s="5" t="s">
        <v>46</v>
      </c>
      <c r="H186" s="5" t="n">
        <v>5</v>
      </c>
      <c r="I186" s="5"/>
    </row>
    <row r="187" customFormat="false" ht="39.55" hidden="false" customHeight="false" outlineLevel="0" collapsed="false">
      <c r="A187" s="5" t="s">
        <v>296</v>
      </c>
      <c r="B187" s="5" t="s">
        <v>10</v>
      </c>
      <c r="C187" s="5" t="s">
        <v>292</v>
      </c>
      <c r="D187" s="5" t="s">
        <v>297</v>
      </c>
      <c r="E187" s="5" t="s">
        <v>46</v>
      </c>
      <c r="F187" s="5" t="n">
        <v>5</v>
      </c>
      <c r="G187" s="5" t="s">
        <v>46</v>
      </c>
      <c r="H187" s="5" t="n">
        <v>5</v>
      </c>
      <c r="I187" s="5"/>
    </row>
    <row r="188" customFormat="false" ht="39.55" hidden="false" customHeight="false" outlineLevel="0" collapsed="false">
      <c r="A188" s="5" t="s">
        <v>298</v>
      </c>
      <c r="B188" s="5" t="s">
        <v>10</v>
      </c>
      <c r="C188" s="5" t="s">
        <v>292</v>
      </c>
      <c r="D188" s="5" t="s">
        <v>299</v>
      </c>
      <c r="E188" s="5" t="s">
        <v>46</v>
      </c>
      <c r="F188" s="5" t="n">
        <v>5</v>
      </c>
      <c r="G188" s="5" t="s">
        <v>46</v>
      </c>
      <c r="H188" s="5" t="n">
        <v>5</v>
      </c>
      <c r="I188" s="5"/>
    </row>
    <row r="189" customFormat="false" ht="39.55" hidden="false" customHeight="false" outlineLevel="0" collapsed="false">
      <c r="A189" s="5" t="s">
        <v>300</v>
      </c>
      <c r="B189" s="5" t="s">
        <v>10</v>
      </c>
      <c r="C189" s="5" t="s">
        <v>292</v>
      </c>
      <c r="D189" s="5" t="s">
        <v>301</v>
      </c>
      <c r="E189" s="5" t="s">
        <v>46</v>
      </c>
      <c r="F189" s="5" t="n">
        <v>5</v>
      </c>
      <c r="G189" s="5" t="s">
        <v>46</v>
      </c>
      <c r="H189" s="5" t="n">
        <v>5</v>
      </c>
      <c r="I189" s="5"/>
    </row>
    <row r="190" customFormat="false" ht="39.55" hidden="false" customHeight="false" outlineLevel="0" collapsed="false">
      <c r="A190" s="5" t="s">
        <v>302</v>
      </c>
      <c r="B190" s="5" t="s">
        <v>10</v>
      </c>
      <c r="C190" s="5" t="s">
        <v>292</v>
      </c>
      <c r="D190" s="5" t="s">
        <v>303</v>
      </c>
      <c r="E190" s="5" t="s">
        <v>46</v>
      </c>
      <c r="F190" s="5" t="n">
        <v>5</v>
      </c>
      <c r="G190" s="5" t="s">
        <v>46</v>
      </c>
      <c r="H190" s="5" t="n">
        <v>5</v>
      </c>
      <c r="I190" s="5"/>
    </row>
    <row r="191" customFormat="false" ht="39.55" hidden="false" customHeight="false" outlineLevel="0" collapsed="false">
      <c r="A191" s="5" t="s">
        <v>304</v>
      </c>
      <c r="B191" s="5" t="s">
        <v>10</v>
      </c>
      <c r="C191" s="5" t="s">
        <v>292</v>
      </c>
      <c r="D191" s="5" t="s">
        <v>305</v>
      </c>
      <c r="E191" s="5" t="s">
        <v>46</v>
      </c>
      <c r="F191" s="5" t="n">
        <v>5</v>
      </c>
      <c r="G191" s="5" t="s">
        <v>46</v>
      </c>
      <c r="H191" s="5" t="n">
        <v>5</v>
      </c>
      <c r="I191" s="5"/>
    </row>
    <row r="192" customFormat="false" ht="39.55" hidden="false" customHeight="false" outlineLevel="0" collapsed="false">
      <c r="A192" s="5" t="s">
        <v>306</v>
      </c>
      <c r="B192" s="5" t="s">
        <v>10</v>
      </c>
      <c r="C192" s="5" t="s">
        <v>292</v>
      </c>
      <c r="D192" s="5" t="s">
        <v>307</v>
      </c>
      <c r="E192" s="5" t="s">
        <v>46</v>
      </c>
      <c r="F192" s="5" t="n">
        <v>5</v>
      </c>
      <c r="G192" s="5" t="s">
        <v>46</v>
      </c>
      <c r="H192" s="5" t="n">
        <v>5</v>
      </c>
      <c r="I192" s="5"/>
    </row>
    <row r="193" customFormat="false" ht="39.55" hidden="false" customHeight="false" outlineLevel="0" collapsed="false">
      <c r="A193" s="5" t="s">
        <v>308</v>
      </c>
      <c r="B193" s="5" t="s">
        <v>10</v>
      </c>
      <c r="C193" s="5" t="s">
        <v>292</v>
      </c>
      <c r="D193" s="5" t="s">
        <v>309</v>
      </c>
      <c r="E193" s="5" t="s">
        <v>46</v>
      </c>
      <c r="F193" s="5" t="n">
        <v>5</v>
      </c>
      <c r="G193" s="5" t="s">
        <v>46</v>
      </c>
      <c r="H193" s="5" t="n">
        <v>5</v>
      </c>
      <c r="I193" s="5"/>
    </row>
    <row r="194" customFormat="false" ht="39.55" hidden="false" customHeight="false" outlineLevel="0" collapsed="false">
      <c r="A194" s="5" t="s">
        <v>310</v>
      </c>
      <c r="B194" s="5" t="s">
        <v>10</v>
      </c>
      <c r="C194" s="5" t="s">
        <v>292</v>
      </c>
      <c r="D194" s="5" t="s">
        <v>311</v>
      </c>
      <c r="E194" s="5" t="s">
        <v>46</v>
      </c>
      <c r="F194" s="5" t="n">
        <v>5</v>
      </c>
      <c r="G194" s="5" t="s">
        <v>46</v>
      </c>
      <c r="H194" s="5" t="n">
        <v>5</v>
      </c>
      <c r="I194" s="5"/>
    </row>
    <row r="195" customFormat="false" ht="39.55" hidden="false" customHeight="false" outlineLevel="0" collapsed="false">
      <c r="A195" s="5" t="s">
        <v>312</v>
      </c>
      <c r="B195" s="5" t="s">
        <v>10</v>
      </c>
      <c r="C195" s="5" t="s">
        <v>292</v>
      </c>
      <c r="D195" s="5" t="s">
        <v>313</v>
      </c>
      <c r="E195" s="5" t="s">
        <v>46</v>
      </c>
      <c r="F195" s="5" t="n">
        <v>5</v>
      </c>
      <c r="G195" s="5" t="s">
        <v>46</v>
      </c>
      <c r="H195" s="5" t="n">
        <v>5</v>
      </c>
      <c r="I195" s="5"/>
    </row>
    <row r="196" customFormat="false" ht="39.55" hidden="false" customHeight="false" outlineLevel="0" collapsed="false">
      <c r="A196" s="5" t="s">
        <v>314</v>
      </c>
      <c r="B196" s="5" t="s">
        <v>10</v>
      </c>
      <c r="C196" s="5" t="s">
        <v>292</v>
      </c>
      <c r="D196" s="5" t="s">
        <v>315</v>
      </c>
      <c r="E196" s="5" t="s">
        <v>46</v>
      </c>
      <c r="F196" s="5" t="n">
        <v>5</v>
      </c>
      <c r="G196" s="5" t="s">
        <v>46</v>
      </c>
      <c r="H196" s="5" t="n">
        <v>5</v>
      </c>
      <c r="I196" s="5"/>
    </row>
    <row r="197" customFormat="false" ht="39.55" hidden="false" customHeight="false" outlineLevel="0" collapsed="false">
      <c r="A197" s="5" t="s">
        <v>316</v>
      </c>
      <c r="B197" s="5" t="s">
        <v>10</v>
      </c>
      <c r="C197" s="5" t="s">
        <v>292</v>
      </c>
      <c r="D197" s="5" t="s">
        <v>317</v>
      </c>
      <c r="E197" s="5" t="s">
        <v>46</v>
      </c>
      <c r="F197" s="5" t="n">
        <v>5</v>
      </c>
      <c r="G197" s="5" t="s">
        <v>46</v>
      </c>
      <c r="H197" s="5" t="n">
        <v>5</v>
      </c>
      <c r="I197" s="5"/>
    </row>
    <row r="198" customFormat="false" ht="39.55" hidden="false" customHeight="false" outlineLevel="0" collapsed="false">
      <c r="A198" s="5" t="s">
        <v>318</v>
      </c>
      <c r="B198" s="5" t="s">
        <v>10</v>
      </c>
      <c r="C198" s="5" t="s">
        <v>292</v>
      </c>
      <c r="D198" s="5" t="s">
        <v>319</v>
      </c>
      <c r="E198" s="5" t="s">
        <v>46</v>
      </c>
      <c r="F198" s="5" t="n">
        <v>5</v>
      </c>
      <c r="G198" s="5" t="s">
        <v>46</v>
      </c>
      <c r="H198" s="5" t="n">
        <v>5</v>
      </c>
      <c r="I198" s="5"/>
    </row>
    <row r="199" customFormat="false" ht="39.55" hidden="false" customHeight="false" outlineLevel="0" collapsed="false">
      <c r="A199" s="5" t="s">
        <v>320</v>
      </c>
      <c r="B199" s="5" t="s">
        <v>10</v>
      </c>
      <c r="C199" s="5" t="s">
        <v>292</v>
      </c>
      <c r="D199" s="5" t="s">
        <v>321</v>
      </c>
      <c r="E199" s="5" t="s">
        <v>46</v>
      </c>
      <c r="F199" s="5" t="n">
        <v>5</v>
      </c>
      <c r="G199" s="5" t="s">
        <v>46</v>
      </c>
      <c r="H199" s="5" t="n">
        <v>5</v>
      </c>
      <c r="I199" s="5"/>
    </row>
    <row r="200" customFormat="false" ht="39.55" hidden="false" customHeight="false" outlineLevel="0" collapsed="false">
      <c r="A200" s="5" t="s">
        <v>322</v>
      </c>
      <c r="B200" s="5" t="s">
        <v>10</v>
      </c>
      <c r="C200" s="5" t="s">
        <v>292</v>
      </c>
      <c r="D200" s="5" t="s">
        <v>323</v>
      </c>
      <c r="E200" s="5" t="s">
        <v>46</v>
      </c>
      <c r="F200" s="5" t="n">
        <v>5</v>
      </c>
      <c r="G200" s="5" t="s">
        <v>46</v>
      </c>
      <c r="H200" s="5" t="n">
        <v>5</v>
      </c>
      <c r="I200" s="5"/>
    </row>
    <row r="201" customFormat="false" ht="39.55" hidden="false" customHeight="false" outlineLevel="0" collapsed="false">
      <c r="A201" s="5" t="s">
        <v>324</v>
      </c>
      <c r="B201" s="5" t="s">
        <v>10</v>
      </c>
      <c r="C201" s="5" t="s">
        <v>292</v>
      </c>
      <c r="D201" s="5" t="s">
        <v>325</v>
      </c>
      <c r="E201" s="5" t="s">
        <v>46</v>
      </c>
      <c r="F201" s="5" t="n">
        <v>5</v>
      </c>
      <c r="G201" s="5" t="s">
        <v>46</v>
      </c>
      <c r="H201" s="5" t="n">
        <v>5</v>
      </c>
      <c r="I201" s="5"/>
    </row>
    <row r="202" customFormat="false" ht="39.55" hidden="false" customHeight="false" outlineLevel="0" collapsed="false">
      <c r="A202" s="5" t="s">
        <v>326</v>
      </c>
      <c r="B202" s="5" t="s">
        <v>10</v>
      </c>
      <c r="C202" s="5" t="s">
        <v>292</v>
      </c>
      <c r="D202" s="5" t="s">
        <v>327</v>
      </c>
      <c r="E202" s="5" t="s">
        <v>46</v>
      </c>
      <c r="F202" s="5" t="n">
        <v>5</v>
      </c>
      <c r="G202" s="5" t="s">
        <v>46</v>
      </c>
      <c r="H202" s="5" t="n">
        <v>5</v>
      </c>
      <c r="I202" s="5"/>
    </row>
    <row r="203" customFormat="false" ht="39.55" hidden="false" customHeight="false" outlineLevel="0" collapsed="false">
      <c r="A203" s="5" t="s">
        <v>328</v>
      </c>
      <c r="B203" s="5" t="s">
        <v>10</v>
      </c>
      <c r="C203" s="5" t="s">
        <v>292</v>
      </c>
      <c r="D203" s="5" t="s">
        <v>329</v>
      </c>
      <c r="E203" s="5" t="s">
        <v>46</v>
      </c>
      <c r="F203" s="5" t="n">
        <v>5</v>
      </c>
      <c r="G203" s="5" t="s">
        <v>46</v>
      </c>
      <c r="H203" s="5" t="n">
        <v>5</v>
      </c>
      <c r="I203" s="5"/>
    </row>
    <row r="204" customFormat="false" ht="39.55" hidden="false" customHeight="false" outlineLevel="0" collapsed="false">
      <c r="A204" s="5" t="s">
        <v>330</v>
      </c>
      <c r="B204" s="5" t="s">
        <v>10</v>
      </c>
      <c r="C204" s="5" t="s">
        <v>292</v>
      </c>
      <c r="D204" s="5" t="s">
        <v>331</v>
      </c>
      <c r="E204" s="5" t="s">
        <v>46</v>
      </c>
      <c r="F204" s="5" t="n">
        <v>5</v>
      </c>
      <c r="G204" s="5" t="s">
        <v>46</v>
      </c>
      <c r="H204" s="5" t="n">
        <v>5</v>
      </c>
      <c r="I204" s="5"/>
    </row>
    <row r="205" customFormat="false" ht="39.55" hidden="false" customHeight="false" outlineLevel="0" collapsed="false">
      <c r="A205" s="5" t="s">
        <v>332</v>
      </c>
      <c r="B205" s="5" t="s">
        <v>10</v>
      </c>
      <c r="C205" s="5" t="s">
        <v>292</v>
      </c>
      <c r="D205" s="5" t="s">
        <v>333</v>
      </c>
      <c r="E205" s="5" t="s">
        <v>46</v>
      </c>
      <c r="F205" s="5" t="n">
        <v>5</v>
      </c>
      <c r="G205" s="5" t="s">
        <v>46</v>
      </c>
      <c r="H205" s="5" t="n">
        <v>5</v>
      </c>
      <c r="I205" s="5"/>
    </row>
    <row r="206" customFormat="false" ht="39.55" hidden="false" customHeight="false" outlineLevel="0" collapsed="false">
      <c r="A206" s="5" t="s">
        <v>334</v>
      </c>
      <c r="B206" s="5" t="s">
        <v>10</v>
      </c>
      <c r="C206" s="5" t="s">
        <v>292</v>
      </c>
      <c r="D206" s="5" t="s">
        <v>335</v>
      </c>
      <c r="E206" s="5" t="s">
        <v>46</v>
      </c>
      <c r="F206" s="5" t="n">
        <v>5</v>
      </c>
      <c r="G206" s="5" t="s">
        <v>46</v>
      </c>
      <c r="H206" s="5" t="n">
        <v>5</v>
      </c>
      <c r="I206" s="5"/>
    </row>
    <row r="207" customFormat="false" ht="39.55" hidden="false" customHeight="false" outlineLevel="0" collapsed="false">
      <c r="A207" s="5" t="s">
        <v>336</v>
      </c>
      <c r="B207" s="5" t="s">
        <v>10</v>
      </c>
      <c r="C207" s="5" t="s">
        <v>292</v>
      </c>
      <c r="D207" s="5" t="s">
        <v>337</v>
      </c>
      <c r="E207" s="5" t="s">
        <v>46</v>
      </c>
      <c r="F207" s="5" t="n">
        <v>5</v>
      </c>
      <c r="G207" s="5" t="s">
        <v>46</v>
      </c>
      <c r="H207" s="5" t="n">
        <v>5</v>
      </c>
      <c r="I207" s="5"/>
    </row>
    <row r="208" customFormat="false" ht="39.55" hidden="false" customHeight="false" outlineLevel="0" collapsed="false">
      <c r="A208" s="5" t="s">
        <v>338</v>
      </c>
      <c r="B208" s="5" t="s">
        <v>10</v>
      </c>
      <c r="C208" s="5" t="s">
        <v>292</v>
      </c>
      <c r="D208" s="5" t="s">
        <v>339</v>
      </c>
      <c r="E208" s="5" t="s">
        <v>46</v>
      </c>
      <c r="F208" s="5" t="n">
        <v>5</v>
      </c>
      <c r="G208" s="5" t="s">
        <v>46</v>
      </c>
      <c r="H208" s="5" t="n">
        <v>5</v>
      </c>
      <c r="I208" s="5"/>
    </row>
    <row r="209" customFormat="false" ht="39.55" hidden="false" customHeight="false" outlineLevel="0" collapsed="false">
      <c r="A209" s="5" t="s">
        <v>340</v>
      </c>
      <c r="B209" s="5" t="s">
        <v>10</v>
      </c>
      <c r="C209" s="5" t="s">
        <v>292</v>
      </c>
      <c r="D209" s="5" t="s">
        <v>341</v>
      </c>
      <c r="E209" s="5" t="s">
        <v>46</v>
      </c>
      <c r="F209" s="5" t="n">
        <v>5</v>
      </c>
      <c r="G209" s="5" t="s">
        <v>46</v>
      </c>
      <c r="H209" s="5" t="n">
        <v>5</v>
      </c>
      <c r="I209" s="5"/>
    </row>
    <row r="210" customFormat="false" ht="39.55" hidden="false" customHeight="false" outlineLevel="0" collapsed="false">
      <c r="A210" s="5" t="s">
        <v>342</v>
      </c>
      <c r="B210" s="5" t="s">
        <v>10</v>
      </c>
      <c r="C210" s="5" t="s">
        <v>292</v>
      </c>
      <c r="D210" s="5" t="s">
        <v>343</v>
      </c>
      <c r="E210" s="5" t="s">
        <v>46</v>
      </c>
      <c r="F210" s="5" t="n">
        <v>5</v>
      </c>
      <c r="G210" s="5" t="s">
        <v>46</v>
      </c>
      <c r="H210" s="5" t="n">
        <v>5</v>
      </c>
      <c r="I210" s="5"/>
    </row>
    <row r="211" customFormat="false" ht="39.55" hidden="false" customHeight="false" outlineLevel="0" collapsed="false">
      <c r="A211" s="5" t="s">
        <v>344</v>
      </c>
      <c r="B211" s="5" t="s">
        <v>10</v>
      </c>
      <c r="C211" s="5" t="s">
        <v>292</v>
      </c>
      <c r="D211" s="5" t="s">
        <v>345</v>
      </c>
      <c r="E211" s="5" t="s">
        <v>46</v>
      </c>
      <c r="F211" s="5" t="n">
        <v>5</v>
      </c>
      <c r="G211" s="5" t="s">
        <v>46</v>
      </c>
      <c r="H211" s="5" t="n">
        <v>5</v>
      </c>
      <c r="I211" s="5"/>
    </row>
    <row r="212" customFormat="false" ht="39.55" hidden="false" customHeight="false" outlineLevel="0" collapsed="false">
      <c r="A212" s="5" t="s">
        <v>346</v>
      </c>
      <c r="B212" s="5" t="s">
        <v>10</v>
      </c>
      <c r="C212" s="5" t="s">
        <v>292</v>
      </c>
      <c r="D212" s="5" t="s">
        <v>347</v>
      </c>
      <c r="E212" s="5" t="s">
        <v>46</v>
      </c>
      <c r="F212" s="5" t="n">
        <v>5</v>
      </c>
      <c r="G212" s="5" t="s">
        <v>46</v>
      </c>
      <c r="H212" s="5" t="n">
        <v>5</v>
      </c>
      <c r="I212" s="5"/>
    </row>
    <row r="213" customFormat="false" ht="39.55" hidden="false" customHeight="false" outlineLevel="0" collapsed="false">
      <c r="A213" s="5" t="s">
        <v>348</v>
      </c>
      <c r="B213" s="5" t="s">
        <v>10</v>
      </c>
      <c r="C213" s="5" t="s">
        <v>292</v>
      </c>
      <c r="D213" s="5" t="s">
        <v>349</v>
      </c>
      <c r="E213" s="5" t="s">
        <v>46</v>
      </c>
      <c r="F213" s="5" t="n">
        <v>5</v>
      </c>
      <c r="G213" s="5" t="s">
        <v>46</v>
      </c>
      <c r="H213" s="5" t="n">
        <v>5</v>
      </c>
      <c r="I213" s="5"/>
    </row>
    <row r="214" customFormat="false" ht="39.55" hidden="false" customHeight="false" outlineLevel="0" collapsed="false">
      <c r="A214" s="5" t="s">
        <v>350</v>
      </c>
      <c r="B214" s="5" t="s">
        <v>10</v>
      </c>
      <c r="C214" s="5" t="s">
        <v>292</v>
      </c>
      <c r="D214" s="5" t="s">
        <v>351</v>
      </c>
      <c r="E214" s="5" t="s">
        <v>46</v>
      </c>
      <c r="F214" s="5" t="n">
        <v>5</v>
      </c>
      <c r="G214" s="5" t="s">
        <v>46</v>
      </c>
      <c r="H214" s="5" t="n">
        <v>5</v>
      </c>
      <c r="I214" s="5"/>
    </row>
    <row r="215" customFormat="false" ht="39.55" hidden="false" customHeight="false" outlineLevel="0" collapsed="false">
      <c r="A215" s="5" t="s">
        <v>352</v>
      </c>
      <c r="B215" s="5" t="s">
        <v>10</v>
      </c>
      <c r="C215" s="5" t="s">
        <v>292</v>
      </c>
      <c r="D215" s="5" t="s">
        <v>353</v>
      </c>
      <c r="E215" s="5" t="s">
        <v>46</v>
      </c>
      <c r="F215" s="5" t="n">
        <v>5</v>
      </c>
      <c r="G215" s="5" t="s">
        <v>46</v>
      </c>
      <c r="H215" s="5" t="n">
        <v>5</v>
      </c>
      <c r="I215" s="5"/>
    </row>
    <row r="216" customFormat="false" ht="39.55" hidden="false" customHeight="false" outlineLevel="0" collapsed="false">
      <c r="A216" s="5" t="s">
        <v>354</v>
      </c>
      <c r="B216" s="5" t="s">
        <v>10</v>
      </c>
      <c r="C216" s="5" t="s">
        <v>292</v>
      </c>
      <c r="D216" s="5" t="s">
        <v>355</v>
      </c>
      <c r="E216" s="5" t="s">
        <v>46</v>
      </c>
      <c r="F216" s="5" t="n">
        <v>5</v>
      </c>
      <c r="G216" s="5" t="s">
        <v>46</v>
      </c>
      <c r="H216" s="5" t="n">
        <v>5</v>
      </c>
      <c r="I216" s="5"/>
    </row>
    <row r="217" customFormat="false" ht="39.55" hidden="false" customHeight="false" outlineLevel="0" collapsed="false">
      <c r="A217" s="5" t="s">
        <v>356</v>
      </c>
      <c r="B217" s="5" t="s">
        <v>10</v>
      </c>
      <c r="C217" s="5" t="s">
        <v>292</v>
      </c>
      <c r="D217" s="5" t="s">
        <v>357</v>
      </c>
      <c r="E217" s="5" t="s">
        <v>46</v>
      </c>
      <c r="F217" s="5" t="n">
        <v>5</v>
      </c>
      <c r="G217" s="5" t="s">
        <v>46</v>
      </c>
      <c r="H217" s="5" t="n">
        <v>5</v>
      </c>
      <c r="I217" s="5"/>
    </row>
    <row r="218" customFormat="false" ht="39.55" hidden="false" customHeight="false" outlineLevel="0" collapsed="false">
      <c r="A218" s="5" t="s">
        <v>358</v>
      </c>
      <c r="B218" s="5" t="s">
        <v>10</v>
      </c>
      <c r="C218" s="5" t="s">
        <v>292</v>
      </c>
      <c r="D218" s="5" t="s">
        <v>359</v>
      </c>
      <c r="E218" s="5" t="s">
        <v>46</v>
      </c>
      <c r="F218" s="5" t="n">
        <v>5</v>
      </c>
      <c r="G218" s="5" t="s">
        <v>46</v>
      </c>
      <c r="H218" s="5" t="n">
        <v>5</v>
      </c>
      <c r="I218" s="5"/>
    </row>
    <row r="219" customFormat="false" ht="39.55" hidden="false" customHeight="false" outlineLevel="0" collapsed="false">
      <c r="A219" s="5" t="s">
        <v>360</v>
      </c>
      <c r="B219" s="5" t="s">
        <v>10</v>
      </c>
      <c r="C219" s="5" t="s">
        <v>292</v>
      </c>
      <c r="D219" s="5" t="s">
        <v>361</v>
      </c>
      <c r="E219" s="5" t="s">
        <v>46</v>
      </c>
      <c r="F219" s="5" t="n">
        <v>5</v>
      </c>
      <c r="G219" s="5" t="s">
        <v>46</v>
      </c>
      <c r="H219" s="5" t="n">
        <v>5</v>
      </c>
      <c r="I219" s="5"/>
    </row>
    <row r="220" customFormat="false" ht="39.55" hidden="false" customHeight="false" outlineLevel="0" collapsed="false">
      <c r="A220" s="5" t="s">
        <v>362</v>
      </c>
      <c r="B220" s="5" t="s">
        <v>10</v>
      </c>
      <c r="C220" s="5" t="s">
        <v>292</v>
      </c>
      <c r="D220" s="5" t="s">
        <v>363</v>
      </c>
      <c r="E220" s="5" t="s">
        <v>46</v>
      </c>
      <c r="F220" s="5" t="n">
        <v>5</v>
      </c>
      <c r="G220" s="5" t="s">
        <v>46</v>
      </c>
      <c r="H220" s="5" t="n">
        <v>5</v>
      </c>
      <c r="I220" s="5"/>
    </row>
    <row r="221" customFormat="false" ht="39.55" hidden="false" customHeight="false" outlineLevel="0" collapsed="false">
      <c r="A221" s="5" t="s">
        <v>364</v>
      </c>
      <c r="B221" s="5" t="s">
        <v>10</v>
      </c>
      <c r="C221" s="5" t="s">
        <v>292</v>
      </c>
      <c r="D221" s="5" t="s">
        <v>365</v>
      </c>
      <c r="E221" s="5" t="s">
        <v>46</v>
      </c>
      <c r="F221" s="5" t="n">
        <v>5</v>
      </c>
      <c r="G221" s="5" t="s">
        <v>46</v>
      </c>
      <c r="H221" s="5" t="n">
        <v>5</v>
      </c>
      <c r="I221" s="5"/>
    </row>
    <row r="222" customFormat="false" ht="39.55" hidden="false" customHeight="false" outlineLevel="0" collapsed="false">
      <c r="A222" s="5" t="s">
        <v>366</v>
      </c>
      <c r="B222" s="5" t="s">
        <v>10</v>
      </c>
      <c r="C222" s="5" t="s">
        <v>292</v>
      </c>
      <c r="D222" s="5" t="s">
        <v>367</v>
      </c>
      <c r="E222" s="5" t="s">
        <v>46</v>
      </c>
      <c r="F222" s="5" t="n">
        <v>5</v>
      </c>
      <c r="G222" s="5" t="s">
        <v>46</v>
      </c>
      <c r="H222" s="5" t="n">
        <v>5</v>
      </c>
      <c r="I222" s="5"/>
    </row>
    <row r="223" customFormat="false" ht="39.55" hidden="false" customHeight="false" outlineLevel="0" collapsed="false">
      <c r="A223" s="5" t="s">
        <v>368</v>
      </c>
      <c r="B223" s="5" t="s">
        <v>10</v>
      </c>
      <c r="C223" s="5" t="s">
        <v>292</v>
      </c>
      <c r="D223" s="5" t="s">
        <v>369</v>
      </c>
      <c r="E223" s="5" t="s">
        <v>46</v>
      </c>
      <c r="F223" s="5" t="n">
        <v>5</v>
      </c>
      <c r="G223" s="5" t="s">
        <v>46</v>
      </c>
      <c r="H223" s="5" t="n">
        <v>5</v>
      </c>
      <c r="I223" s="5"/>
    </row>
    <row r="224" customFormat="false" ht="39.55" hidden="false" customHeight="false" outlineLevel="0" collapsed="false">
      <c r="A224" s="5" t="s">
        <v>370</v>
      </c>
      <c r="B224" s="5" t="s">
        <v>10</v>
      </c>
      <c r="C224" s="5" t="s">
        <v>292</v>
      </c>
      <c r="D224" s="5" t="s">
        <v>371</v>
      </c>
      <c r="E224" s="5" t="s">
        <v>46</v>
      </c>
      <c r="F224" s="5" t="n">
        <v>5</v>
      </c>
      <c r="G224" s="5" t="s">
        <v>46</v>
      </c>
      <c r="H224" s="5" t="n">
        <v>5</v>
      </c>
      <c r="I224" s="5"/>
    </row>
    <row r="225" customFormat="false" ht="39.55" hidden="false" customHeight="false" outlineLevel="0" collapsed="false">
      <c r="A225" s="5" t="s">
        <v>372</v>
      </c>
      <c r="B225" s="5" t="s">
        <v>10</v>
      </c>
      <c r="C225" s="5" t="s">
        <v>292</v>
      </c>
      <c r="D225" s="5" t="s">
        <v>373</v>
      </c>
      <c r="E225" s="5" t="s">
        <v>46</v>
      </c>
      <c r="F225" s="5" t="n">
        <v>5</v>
      </c>
      <c r="G225" s="5" t="s">
        <v>46</v>
      </c>
      <c r="H225" s="5" t="n">
        <v>5</v>
      </c>
      <c r="I225" s="5"/>
    </row>
    <row r="226" customFormat="false" ht="39.55" hidden="false" customHeight="false" outlineLevel="0" collapsed="false">
      <c r="A226" s="5" t="s">
        <v>374</v>
      </c>
      <c r="B226" s="5" t="s">
        <v>10</v>
      </c>
      <c r="C226" s="5" t="s">
        <v>292</v>
      </c>
      <c r="D226" s="5" t="s">
        <v>375</v>
      </c>
      <c r="E226" s="5" t="s">
        <v>46</v>
      </c>
      <c r="F226" s="5" t="n">
        <v>5</v>
      </c>
      <c r="G226" s="5" t="s">
        <v>46</v>
      </c>
      <c r="H226" s="5" t="n">
        <v>5</v>
      </c>
      <c r="I226" s="5"/>
    </row>
    <row r="227" customFormat="false" ht="39.55" hidden="false" customHeight="false" outlineLevel="0" collapsed="false">
      <c r="A227" s="5" t="s">
        <v>376</v>
      </c>
      <c r="B227" s="5" t="s">
        <v>10</v>
      </c>
      <c r="C227" s="5" t="s">
        <v>292</v>
      </c>
      <c r="D227" s="5" t="s">
        <v>377</v>
      </c>
      <c r="E227" s="5" t="s">
        <v>46</v>
      </c>
      <c r="F227" s="5" t="n">
        <v>5</v>
      </c>
      <c r="G227" s="5" t="s">
        <v>46</v>
      </c>
      <c r="H227" s="5" t="n">
        <v>5</v>
      </c>
      <c r="I227" s="5"/>
    </row>
    <row r="228" customFormat="false" ht="39.55" hidden="false" customHeight="false" outlineLevel="0" collapsed="false">
      <c r="A228" s="5" t="s">
        <v>378</v>
      </c>
      <c r="B228" s="5" t="s">
        <v>10</v>
      </c>
      <c r="C228" s="5" t="s">
        <v>292</v>
      </c>
      <c r="D228" s="5" t="s">
        <v>379</v>
      </c>
      <c r="E228" s="5" t="s">
        <v>46</v>
      </c>
      <c r="F228" s="5" t="n">
        <v>5</v>
      </c>
      <c r="G228" s="5" t="s">
        <v>46</v>
      </c>
      <c r="H228" s="5" t="n">
        <v>5</v>
      </c>
      <c r="I228" s="5"/>
    </row>
    <row r="229" customFormat="false" ht="39.55" hidden="false" customHeight="false" outlineLevel="0" collapsed="false">
      <c r="A229" s="5" t="s">
        <v>380</v>
      </c>
      <c r="B229" s="5" t="s">
        <v>10</v>
      </c>
      <c r="C229" s="5" t="s">
        <v>292</v>
      </c>
      <c r="D229" s="5" t="s">
        <v>381</v>
      </c>
      <c r="E229" s="5" t="s">
        <v>46</v>
      </c>
      <c r="F229" s="5" t="n">
        <v>5</v>
      </c>
      <c r="G229" s="5" t="s">
        <v>46</v>
      </c>
      <c r="H229" s="5" t="n">
        <v>5</v>
      </c>
      <c r="I229" s="5"/>
    </row>
    <row r="230" customFormat="false" ht="39.55" hidden="false" customHeight="false" outlineLevel="0" collapsed="false">
      <c r="A230" s="5" t="s">
        <v>382</v>
      </c>
      <c r="B230" s="5" t="s">
        <v>10</v>
      </c>
      <c r="C230" s="5" t="s">
        <v>292</v>
      </c>
      <c r="D230" s="5" t="s">
        <v>383</v>
      </c>
      <c r="E230" s="5" t="s">
        <v>46</v>
      </c>
      <c r="F230" s="5" t="n">
        <v>5</v>
      </c>
      <c r="G230" s="5" t="s">
        <v>46</v>
      </c>
      <c r="H230" s="5" t="n">
        <v>5</v>
      </c>
      <c r="I230" s="5"/>
    </row>
    <row r="231" customFormat="false" ht="39.55" hidden="false" customHeight="false" outlineLevel="0" collapsed="false">
      <c r="A231" s="5" t="s">
        <v>384</v>
      </c>
      <c r="B231" s="5" t="s">
        <v>10</v>
      </c>
      <c r="C231" s="5" t="s">
        <v>292</v>
      </c>
      <c r="D231" s="5" t="s">
        <v>385</v>
      </c>
      <c r="E231" s="5" t="s">
        <v>46</v>
      </c>
      <c r="F231" s="5" t="n">
        <v>5</v>
      </c>
      <c r="G231" s="5" t="s">
        <v>46</v>
      </c>
      <c r="H231" s="5" t="n">
        <v>5</v>
      </c>
      <c r="I231" s="5"/>
    </row>
    <row r="232" customFormat="false" ht="39.55" hidden="false" customHeight="false" outlineLevel="0" collapsed="false">
      <c r="A232" s="5" t="s">
        <v>386</v>
      </c>
      <c r="B232" s="5" t="s">
        <v>10</v>
      </c>
      <c r="C232" s="5" t="s">
        <v>292</v>
      </c>
      <c r="D232" s="5" t="s">
        <v>387</v>
      </c>
      <c r="E232" s="5" t="s">
        <v>46</v>
      </c>
      <c r="F232" s="5" t="n">
        <v>5</v>
      </c>
      <c r="G232" s="5" t="s">
        <v>46</v>
      </c>
      <c r="H232" s="5" t="n">
        <v>5</v>
      </c>
      <c r="I232" s="5"/>
    </row>
    <row r="233" customFormat="false" ht="39.55" hidden="false" customHeight="false" outlineLevel="0" collapsed="false">
      <c r="A233" s="5" t="s">
        <v>388</v>
      </c>
      <c r="B233" s="5" t="s">
        <v>10</v>
      </c>
      <c r="C233" s="5" t="s">
        <v>292</v>
      </c>
      <c r="D233" s="5" t="s">
        <v>389</v>
      </c>
      <c r="E233" s="5" t="s">
        <v>46</v>
      </c>
      <c r="F233" s="5" t="n">
        <v>5</v>
      </c>
      <c r="G233" s="5" t="s">
        <v>46</v>
      </c>
      <c r="H233" s="5" t="n">
        <v>5</v>
      </c>
      <c r="I233" s="5"/>
    </row>
    <row r="234" customFormat="false" ht="39.55" hidden="false" customHeight="false" outlineLevel="0" collapsed="false">
      <c r="A234" s="5" t="s">
        <v>390</v>
      </c>
      <c r="B234" s="5" t="s">
        <v>10</v>
      </c>
      <c r="C234" s="5" t="s">
        <v>292</v>
      </c>
      <c r="D234" s="5" t="s">
        <v>391</v>
      </c>
      <c r="E234" s="5" t="s">
        <v>46</v>
      </c>
      <c r="F234" s="5" t="n">
        <v>5</v>
      </c>
      <c r="G234" s="5" t="s">
        <v>46</v>
      </c>
      <c r="H234" s="5" t="n">
        <v>5</v>
      </c>
      <c r="I234" s="5"/>
    </row>
    <row r="235" customFormat="false" ht="39.55" hidden="false" customHeight="false" outlineLevel="0" collapsed="false">
      <c r="A235" s="5" t="s">
        <v>392</v>
      </c>
      <c r="B235" s="5" t="s">
        <v>10</v>
      </c>
      <c r="C235" s="5" t="s">
        <v>292</v>
      </c>
      <c r="D235" s="5" t="s">
        <v>393</v>
      </c>
      <c r="E235" s="5" t="s">
        <v>46</v>
      </c>
      <c r="F235" s="5" t="n">
        <v>5</v>
      </c>
      <c r="G235" s="5" t="s">
        <v>46</v>
      </c>
      <c r="H235" s="5" t="n">
        <v>5</v>
      </c>
      <c r="I235" s="5"/>
    </row>
    <row r="236" customFormat="false" ht="39.55" hidden="false" customHeight="false" outlineLevel="0" collapsed="false">
      <c r="A236" s="5" t="s">
        <v>394</v>
      </c>
      <c r="B236" s="5" t="s">
        <v>10</v>
      </c>
      <c r="C236" s="5" t="s">
        <v>292</v>
      </c>
      <c r="D236" s="5" t="s">
        <v>395</v>
      </c>
      <c r="E236" s="5" t="s">
        <v>46</v>
      </c>
      <c r="F236" s="5" t="n">
        <v>5</v>
      </c>
      <c r="G236" s="5" t="s">
        <v>46</v>
      </c>
      <c r="H236" s="5" t="n">
        <v>5</v>
      </c>
      <c r="I236" s="5"/>
    </row>
    <row r="237" customFormat="false" ht="39.55" hidden="false" customHeight="false" outlineLevel="0" collapsed="false">
      <c r="A237" s="5" t="s">
        <v>396</v>
      </c>
      <c r="B237" s="5" t="s">
        <v>10</v>
      </c>
      <c r="C237" s="5" t="s">
        <v>292</v>
      </c>
      <c r="D237" s="5" t="s">
        <v>397</v>
      </c>
      <c r="E237" s="5" t="s">
        <v>46</v>
      </c>
      <c r="F237" s="5" t="n">
        <v>5</v>
      </c>
      <c r="G237" s="5" t="s">
        <v>46</v>
      </c>
      <c r="H237" s="5" t="n">
        <v>5</v>
      </c>
      <c r="I237" s="5"/>
    </row>
    <row r="238" customFormat="false" ht="39.55" hidden="false" customHeight="false" outlineLevel="0" collapsed="false">
      <c r="A238" s="5" t="s">
        <v>398</v>
      </c>
      <c r="B238" s="5" t="s">
        <v>10</v>
      </c>
      <c r="C238" s="5" t="s">
        <v>292</v>
      </c>
      <c r="D238" s="5" t="s">
        <v>399</v>
      </c>
      <c r="E238" s="5" t="s">
        <v>46</v>
      </c>
      <c r="F238" s="5" t="n">
        <v>5</v>
      </c>
      <c r="G238" s="5" t="s">
        <v>46</v>
      </c>
      <c r="H238" s="5" t="n">
        <v>5</v>
      </c>
      <c r="I238" s="5"/>
    </row>
    <row r="239" customFormat="false" ht="39.55" hidden="false" customHeight="false" outlineLevel="0" collapsed="false">
      <c r="A239" s="5" t="s">
        <v>400</v>
      </c>
      <c r="B239" s="5" t="s">
        <v>10</v>
      </c>
      <c r="C239" s="5" t="s">
        <v>292</v>
      </c>
      <c r="D239" s="5" t="s">
        <v>401</v>
      </c>
      <c r="E239" s="5" t="s">
        <v>46</v>
      </c>
      <c r="F239" s="5" t="n">
        <v>5</v>
      </c>
      <c r="G239" s="5" t="s">
        <v>402</v>
      </c>
      <c r="H239" s="5"/>
      <c r="I239" s="5" t="s">
        <v>403</v>
      </c>
    </row>
    <row r="240" customFormat="false" ht="39.55" hidden="false" customHeight="false" outlineLevel="0" collapsed="false">
      <c r="A240" s="5" t="s">
        <v>404</v>
      </c>
      <c r="B240" s="5" t="s">
        <v>10</v>
      </c>
      <c r="C240" s="5" t="s">
        <v>292</v>
      </c>
      <c r="D240" s="5" t="s">
        <v>405</v>
      </c>
      <c r="E240" s="5" t="s">
        <v>46</v>
      </c>
      <c r="F240" s="5" t="n">
        <v>5</v>
      </c>
      <c r="G240" s="5" t="s">
        <v>46</v>
      </c>
      <c r="H240" s="5" t="n">
        <v>5</v>
      </c>
      <c r="I240" s="5"/>
    </row>
    <row r="241" customFormat="false" ht="39.55" hidden="false" customHeight="false" outlineLevel="0" collapsed="false">
      <c r="A241" s="5" t="s">
        <v>406</v>
      </c>
      <c r="B241" s="5" t="s">
        <v>10</v>
      </c>
      <c r="C241" s="5" t="s">
        <v>292</v>
      </c>
      <c r="D241" s="5" t="s">
        <v>407</v>
      </c>
      <c r="E241" s="5" t="s">
        <v>46</v>
      </c>
      <c r="F241" s="5" t="n">
        <v>5</v>
      </c>
      <c r="G241" s="5" t="s">
        <v>46</v>
      </c>
      <c r="H241" s="5" t="n">
        <v>5</v>
      </c>
      <c r="I241" s="5"/>
    </row>
    <row r="242" customFormat="false" ht="39.55" hidden="false" customHeight="false" outlineLevel="0" collapsed="false">
      <c r="A242" s="5" t="s">
        <v>408</v>
      </c>
      <c r="B242" s="5" t="s">
        <v>10</v>
      </c>
      <c r="C242" s="5" t="s">
        <v>292</v>
      </c>
      <c r="D242" s="5" t="s">
        <v>409</v>
      </c>
      <c r="E242" s="5" t="s">
        <v>46</v>
      </c>
      <c r="F242" s="5" t="n">
        <v>5</v>
      </c>
      <c r="G242" s="5" t="s">
        <v>46</v>
      </c>
      <c r="H242" s="5" t="n">
        <v>5</v>
      </c>
      <c r="I242" s="5"/>
    </row>
    <row r="243" customFormat="false" ht="39.55" hidden="false" customHeight="false" outlineLevel="0" collapsed="false">
      <c r="A243" s="5" t="s">
        <v>410</v>
      </c>
      <c r="B243" s="5" t="s">
        <v>10</v>
      </c>
      <c r="C243" s="5" t="s">
        <v>292</v>
      </c>
      <c r="D243" s="5" t="s">
        <v>411</v>
      </c>
      <c r="E243" s="5" t="s">
        <v>46</v>
      </c>
      <c r="F243" s="5" t="n">
        <v>5</v>
      </c>
      <c r="G243" s="5" t="s">
        <v>402</v>
      </c>
      <c r="H243" s="5"/>
      <c r="I243" s="5" t="s">
        <v>403</v>
      </c>
    </row>
    <row r="244" customFormat="false" ht="39.55" hidden="false" customHeight="false" outlineLevel="0" collapsed="false">
      <c r="A244" s="5" t="s">
        <v>412</v>
      </c>
      <c r="B244" s="5" t="s">
        <v>10</v>
      </c>
      <c r="C244" s="5" t="s">
        <v>292</v>
      </c>
      <c r="D244" s="5" t="s">
        <v>413</v>
      </c>
      <c r="E244" s="5" t="s">
        <v>46</v>
      </c>
      <c r="F244" s="5" t="n">
        <v>5</v>
      </c>
      <c r="G244" s="5" t="s">
        <v>46</v>
      </c>
      <c r="H244" s="5" t="n">
        <v>5</v>
      </c>
      <c r="I244" s="5"/>
    </row>
    <row r="245" customFormat="false" ht="39.55" hidden="false" customHeight="false" outlineLevel="0" collapsed="false">
      <c r="A245" s="5" t="s">
        <v>414</v>
      </c>
      <c r="B245" s="5" t="s">
        <v>10</v>
      </c>
      <c r="C245" s="5" t="s">
        <v>292</v>
      </c>
      <c r="D245" s="5" t="s">
        <v>415</v>
      </c>
      <c r="E245" s="5" t="s">
        <v>46</v>
      </c>
      <c r="F245" s="5" t="n">
        <v>5</v>
      </c>
      <c r="G245" s="5" t="s">
        <v>46</v>
      </c>
      <c r="H245" s="5" t="n">
        <v>5</v>
      </c>
      <c r="I245" s="5"/>
    </row>
    <row r="246" customFormat="false" ht="39.55" hidden="false" customHeight="false" outlineLevel="0" collapsed="false">
      <c r="A246" s="5" t="s">
        <v>416</v>
      </c>
      <c r="B246" s="5" t="s">
        <v>10</v>
      </c>
      <c r="C246" s="5" t="s">
        <v>292</v>
      </c>
      <c r="D246" s="5" t="s">
        <v>417</v>
      </c>
      <c r="E246" s="5" t="s">
        <v>46</v>
      </c>
      <c r="F246" s="5" t="n">
        <v>5</v>
      </c>
      <c r="G246" s="5" t="s">
        <v>46</v>
      </c>
      <c r="H246" s="5" t="n">
        <v>5</v>
      </c>
      <c r="I246" s="5"/>
    </row>
    <row r="247" customFormat="false" ht="39.55" hidden="false" customHeight="false" outlineLevel="0" collapsed="false">
      <c r="A247" s="5" t="s">
        <v>418</v>
      </c>
      <c r="B247" s="5" t="s">
        <v>10</v>
      </c>
      <c r="C247" s="5" t="s">
        <v>292</v>
      </c>
      <c r="D247" s="5" t="s">
        <v>419</v>
      </c>
      <c r="E247" s="5" t="s">
        <v>46</v>
      </c>
      <c r="F247" s="5" t="n">
        <v>5</v>
      </c>
      <c r="G247" s="5" t="s">
        <v>46</v>
      </c>
      <c r="H247" s="5" t="n">
        <v>5</v>
      </c>
      <c r="I247" s="5"/>
    </row>
    <row r="248" customFormat="false" ht="39.55" hidden="false" customHeight="false" outlineLevel="0" collapsed="false">
      <c r="A248" s="5" t="s">
        <v>420</v>
      </c>
      <c r="B248" s="5" t="s">
        <v>10</v>
      </c>
      <c r="C248" s="5" t="s">
        <v>292</v>
      </c>
      <c r="D248" s="5" t="s">
        <v>421</v>
      </c>
      <c r="E248" s="5" t="s">
        <v>46</v>
      </c>
      <c r="F248" s="5" t="n">
        <v>5</v>
      </c>
      <c r="G248" s="5" t="s">
        <v>46</v>
      </c>
      <c r="H248" s="5" t="n">
        <v>5</v>
      </c>
      <c r="I248" s="5"/>
    </row>
    <row r="249" customFormat="false" ht="39.55" hidden="false" customHeight="false" outlineLevel="0" collapsed="false">
      <c r="A249" s="5" t="s">
        <v>422</v>
      </c>
      <c r="B249" s="5" t="s">
        <v>10</v>
      </c>
      <c r="C249" s="5" t="s">
        <v>292</v>
      </c>
      <c r="D249" s="5" t="s">
        <v>423</v>
      </c>
      <c r="E249" s="5" t="s">
        <v>46</v>
      </c>
      <c r="F249" s="5" t="n">
        <v>5</v>
      </c>
      <c r="G249" s="5" t="s">
        <v>46</v>
      </c>
      <c r="H249" s="5" t="n">
        <v>5</v>
      </c>
      <c r="I249" s="5"/>
    </row>
    <row r="250" customFormat="false" ht="39.55" hidden="false" customHeight="false" outlineLevel="0" collapsed="false">
      <c r="A250" s="5" t="s">
        <v>424</v>
      </c>
      <c r="B250" s="5" t="s">
        <v>10</v>
      </c>
      <c r="C250" s="5" t="s">
        <v>292</v>
      </c>
      <c r="D250" s="5" t="s">
        <v>425</v>
      </c>
      <c r="E250" s="5" t="s">
        <v>46</v>
      </c>
      <c r="F250" s="5" t="n">
        <v>5</v>
      </c>
      <c r="G250" s="5" t="s">
        <v>46</v>
      </c>
      <c r="H250" s="5" t="n">
        <v>5</v>
      </c>
      <c r="I250" s="5"/>
    </row>
    <row r="251" customFormat="false" ht="39.55" hidden="false" customHeight="false" outlineLevel="0" collapsed="false">
      <c r="A251" s="5" t="s">
        <v>426</v>
      </c>
      <c r="B251" s="5" t="s">
        <v>10</v>
      </c>
      <c r="C251" s="5" t="s">
        <v>292</v>
      </c>
      <c r="D251" s="5" t="s">
        <v>427</v>
      </c>
      <c r="E251" s="5" t="s">
        <v>46</v>
      </c>
      <c r="F251" s="5" t="n">
        <v>5</v>
      </c>
      <c r="G251" s="5" t="s">
        <v>402</v>
      </c>
      <c r="H251" s="5"/>
      <c r="I251" s="5" t="s">
        <v>403</v>
      </c>
    </row>
    <row r="252" customFormat="false" ht="39.55" hidden="false" customHeight="false" outlineLevel="0" collapsed="false">
      <c r="A252" s="5" t="s">
        <v>428</v>
      </c>
      <c r="B252" s="5" t="s">
        <v>10</v>
      </c>
      <c r="C252" s="5" t="s">
        <v>292</v>
      </c>
      <c r="D252" s="5" t="s">
        <v>429</v>
      </c>
      <c r="E252" s="5" t="s">
        <v>46</v>
      </c>
      <c r="F252" s="5" t="n">
        <v>5</v>
      </c>
      <c r="G252" s="5" t="s">
        <v>46</v>
      </c>
      <c r="H252" s="5" t="n">
        <v>5</v>
      </c>
      <c r="I252" s="5"/>
    </row>
    <row r="253" customFormat="false" ht="39.55" hidden="false" customHeight="false" outlineLevel="0" collapsed="false">
      <c r="A253" s="5" t="s">
        <v>430</v>
      </c>
      <c r="B253" s="5" t="s">
        <v>10</v>
      </c>
      <c r="C253" s="5" t="s">
        <v>292</v>
      </c>
      <c r="D253" s="5" t="s">
        <v>431</v>
      </c>
      <c r="E253" s="5" t="s">
        <v>46</v>
      </c>
      <c r="F253" s="5" t="n">
        <v>5</v>
      </c>
      <c r="G253" s="5" t="s">
        <v>46</v>
      </c>
      <c r="H253" s="5" t="n">
        <v>5</v>
      </c>
      <c r="I253" s="5"/>
    </row>
    <row r="254" customFormat="false" ht="39.55" hidden="false" customHeight="false" outlineLevel="0" collapsed="false">
      <c r="A254" s="5" t="s">
        <v>432</v>
      </c>
      <c r="B254" s="5" t="s">
        <v>10</v>
      </c>
      <c r="C254" s="5" t="s">
        <v>292</v>
      </c>
      <c r="D254" s="5" t="s">
        <v>433</v>
      </c>
      <c r="E254" s="5" t="s">
        <v>46</v>
      </c>
      <c r="F254" s="5" t="n">
        <v>5</v>
      </c>
      <c r="G254" s="5" t="s">
        <v>46</v>
      </c>
      <c r="H254" s="5" t="n">
        <v>5</v>
      </c>
      <c r="I254" s="5"/>
    </row>
    <row r="255" customFormat="false" ht="39.55" hidden="false" customHeight="false" outlineLevel="0" collapsed="false">
      <c r="A255" s="5" t="s">
        <v>434</v>
      </c>
      <c r="B255" s="5" t="s">
        <v>10</v>
      </c>
      <c r="C255" s="5" t="s">
        <v>292</v>
      </c>
      <c r="D255" s="5" t="s">
        <v>435</v>
      </c>
      <c r="E255" s="5" t="s">
        <v>46</v>
      </c>
      <c r="F255" s="5" t="n">
        <v>5</v>
      </c>
      <c r="G255" s="5" t="s">
        <v>46</v>
      </c>
      <c r="H255" s="5" t="n">
        <v>5</v>
      </c>
      <c r="I255" s="5"/>
    </row>
    <row r="256" customFormat="false" ht="39.55" hidden="false" customHeight="false" outlineLevel="0" collapsed="false">
      <c r="A256" s="5" t="s">
        <v>436</v>
      </c>
      <c r="B256" s="5" t="s">
        <v>10</v>
      </c>
      <c r="C256" s="5" t="s">
        <v>292</v>
      </c>
      <c r="D256" s="5" t="s">
        <v>437</v>
      </c>
      <c r="E256" s="5" t="s">
        <v>46</v>
      </c>
      <c r="F256" s="5" t="n">
        <v>5</v>
      </c>
      <c r="G256" s="5" t="s">
        <v>46</v>
      </c>
      <c r="H256" s="5" t="n">
        <v>5</v>
      </c>
      <c r="I256" s="5"/>
    </row>
    <row r="257" customFormat="false" ht="39.55" hidden="false" customHeight="false" outlineLevel="0" collapsed="false">
      <c r="A257" s="5" t="s">
        <v>438</v>
      </c>
      <c r="B257" s="5" t="s">
        <v>10</v>
      </c>
      <c r="C257" s="5" t="s">
        <v>292</v>
      </c>
      <c r="D257" s="5" t="s">
        <v>439</v>
      </c>
      <c r="E257" s="5" t="s">
        <v>46</v>
      </c>
      <c r="F257" s="5" t="n">
        <v>5</v>
      </c>
      <c r="G257" s="5" t="s">
        <v>46</v>
      </c>
      <c r="H257" s="5" t="n">
        <v>5</v>
      </c>
      <c r="I257" s="5"/>
    </row>
    <row r="258" customFormat="false" ht="39.55" hidden="false" customHeight="false" outlineLevel="0" collapsed="false">
      <c r="A258" s="5" t="s">
        <v>440</v>
      </c>
      <c r="B258" s="5" t="s">
        <v>10</v>
      </c>
      <c r="C258" s="5" t="s">
        <v>292</v>
      </c>
      <c r="D258" s="5" t="s">
        <v>441</v>
      </c>
      <c r="E258" s="5" t="s">
        <v>46</v>
      </c>
      <c r="F258" s="5" t="n">
        <v>5</v>
      </c>
      <c r="G258" s="5" t="s">
        <v>46</v>
      </c>
      <c r="H258" s="5" t="n">
        <v>5</v>
      </c>
      <c r="I258" s="5"/>
    </row>
    <row r="259" customFormat="false" ht="39.55" hidden="false" customHeight="false" outlineLevel="0" collapsed="false">
      <c r="A259" s="5" t="s">
        <v>442</v>
      </c>
      <c r="B259" s="5" t="s">
        <v>10</v>
      </c>
      <c r="C259" s="5" t="s">
        <v>292</v>
      </c>
      <c r="D259" s="5" t="s">
        <v>443</v>
      </c>
      <c r="E259" s="5" t="s">
        <v>46</v>
      </c>
      <c r="F259" s="5" t="n">
        <v>5</v>
      </c>
      <c r="G259" s="5" t="s">
        <v>46</v>
      </c>
      <c r="H259" s="5" t="n">
        <v>5</v>
      </c>
      <c r="I259" s="5"/>
    </row>
    <row r="260" customFormat="false" ht="39.55" hidden="false" customHeight="false" outlineLevel="0" collapsed="false">
      <c r="A260" s="5" t="s">
        <v>444</v>
      </c>
      <c r="B260" s="5" t="s">
        <v>10</v>
      </c>
      <c r="C260" s="5" t="s">
        <v>292</v>
      </c>
      <c r="D260" s="5" t="s">
        <v>445</v>
      </c>
      <c r="E260" s="5" t="s">
        <v>46</v>
      </c>
      <c r="F260" s="5" t="n">
        <v>5</v>
      </c>
      <c r="G260" s="5" t="s">
        <v>46</v>
      </c>
      <c r="H260" s="5" t="n">
        <v>5</v>
      </c>
      <c r="I260" s="5"/>
    </row>
    <row r="261" customFormat="false" ht="39.55" hidden="false" customHeight="false" outlineLevel="0" collapsed="false">
      <c r="A261" s="5" t="s">
        <v>446</v>
      </c>
      <c r="B261" s="5" t="s">
        <v>10</v>
      </c>
      <c r="C261" s="5" t="s">
        <v>292</v>
      </c>
      <c r="D261" s="5" t="s">
        <v>447</v>
      </c>
      <c r="E261" s="5" t="s">
        <v>46</v>
      </c>
      <c r="F261" s="5" t="n">
        <v>5</v>
      </c>
      <c r="G261" s="5" t="s">
        <v>46</v>
      </c>
      <c r="H261" s="5" t="n">
        <v>5</v>
      </c>
      <c r="I261" s="5"/>
    </row>
    <row r="262" customFormat="false" ht="39.55" hidden="false" customHeight="false" outlineLevel="0" collapsed="false">
      <c r="A262" s="5" t="s">
        <v>448</v>
      </c>
      <c r="B262" s="5" t="s">
        <v>10</v>
      </c>
      <c r="C262" s="5" t="s">
        <v>292</v>
      </c>
      <c r="D262" s="5" t="s">
        <v>449</v>
      </c>
      <c r="E262" s="5" t="s">
        <v>46</v>
      </c>
      <c r="F262" s="5" t="n">
        <v>5</v>
      </c>
      <c r="G262" s="5" t="s">
        <v>46</v>
      </c>
      <c r="H262" s="5" t="n">
        <v>5</v>
      </c>
      <c r="I262" s="5"/>
    </row>
    <row r="263" customFormat="false" ht="39.55" hidden="false" customHeight="false" outlineLevel="0" collapsed="false">
      <c r="A263" s="5" t="s">
        <v>450</v>
      </c>
      <c r="B263" s="5" t="s">
        <v>10</v>
      </c>
      <c r="C263" s="5" t="s">
        <v>292</v>
      </c>
      <c r="D263" s="5" t="s">
        <v>451</v>
      </c>
      <c r="E263" s="5" t="s">
        <v>46</v>
      </c>
      <c r="F263" s="5" t="n">
        <v>5</v>
      </c>
      <c r="G263" s="5" t="s">
        <v>46</v>
      </c>
      <c r="H263" s="5" t="n">
        <v>5</v>
      </c>
      <c r="I263" s="5"/>
    </row>
    <row r="264" customFormat="false" ht="39.55" hidden="false" customHeight="false" outlineLevel="0" collapsed="false">
      <c r="A264" s="5" t="s">
        <v>452</v>
      </c>
      <c r="B264" s="5" t="s">
        <v>10</v>
      </c>
      <c r="C264" s="5" t="s">
        <v>292</v>
      </c>
      <c r="D264" s="5" t="s">
        <v>453</v>
      </c>
      <c r="E264" s="5" t="s">
        <v>46</v>
      </c>
      <c r="F264" s="5" t="n">
        <v>5</v>
      </c>
      <c r="G264" s="5" t="s">
        <v>46</v>
      </c>
      <c r="H264" s="5" t="n">
        <v>5</v>
      </c>
      <c r="I264" s="5"/>
    </row>
    <row r="265" customFormat="false" ht="39.55" hidden="false" customHeight="false" outlineLevel="0" collapsed="false">
      <c r="A265" s="5" t="s">
        <v>454</v>
      </c>
      <c r="B265" s="5" t="s">
        <v>10</v>
      </c>
      <c r="C265" s="5" t="s">
        <v>292</v>
      </c>
      <c r="D265" s="5" t="s">
        <v>455</v>
      </c>
      <c r="E265" s="5" t="s">
        <v>46</v>
      </c>
      <c r="F265" s="5" t="n">
        <v>5</v>
      </c>
      <c r="G265" s="5" t="s">
        <v>46</v>
      </c>
      <c r="H265" s="5" t="n">
        <v>5</v>
      </c>
      <c r="I265" s="5"/>
    </row>
    <row r="266" customFormat="false" ht="39.55" hidden="false" customHeight="false" outlineLevel="0" collapsed="false">
      <c r="A266" s="5" t="s">
        <v>456</v>
      </c>
      <c r="B266" s="5" t="s">
        <v>10</v>
      </c>
      <c r="C266" s="5" t="s">
        <v>292</v>
      </c>
      <c r="D266" s="5" t="s">
        <v>457</v>
      </c>
      <c r="E266" s="5" t="s">
        <v>46</v>
      </c>
      <c r="F266" s="5" t="n">
        <v>5</v>
      </c>
      <c r="G266" s="5" t="s">
        <v>46</v>
      </c>
      <c r="H266" s="5" t="n">
        <v>5</v>
      </c>
      <c r="I266" s="5"/>
    </row>
    <row r="267" customFormat="false" ht="39.55" hidden="false" customHeight="false" outlineLevel="0" collapsed="false">
      <c r="A267" s="5" t="s">
        <v>458</v>
      </c>
      <c r="B267" s="5" t="s">
        <v>10</v>
      </c>
      <c r="C267" s="5" t="s">
        <v>292</v>
      </c>
      <c r="D267" s="5" t="s">
        <v>459</v>
      </c>
      <c r="E267" s="5" t="s">
        <v>46</v>
      </c>
      <c r="F267" s="5" t="n">
        <v>5</v>
      </c>
      <c r="G267" s="5" t="s">
        <v>46</v>
      </c>
      <c r="H267" s="5" t="n">
        <v>5</v>
      </c>
      <c r="I267" s="5"/>
    </row>
    <row r="268" customFormat="false" ht="39.55" hidden="false" customHeight="false" outlineLevel="0" collapsed="false">
      <c r="A268" s="5" t="s">
        <v>460</v>
      </c>
      <c r="B268" s="5" t="s">
        <v>10</v>
      </c>
      <c r="C268" s="5" t="s">
        <v>292</v>
      </c>
      <c r="D268" s="5" t="s">
        <v>461</v>
      </c>
      <c r="E268" s="5" t="s">
        <v>46</v>
      </c>
      <c r="F268" s="5" t="n">
        <v>5</v>
      </c>
      <c r="G268" s="5" t="s">
        <v>46</v>
      </c>
      <c r="H268" s="5" t="n">
        <v>5</v>
      </c>
      <c r="I268" s="5"/>
    </row>
    <row r="269" customFormat="false" ht="52.2" hidden="false" customHeight="false" outlineLevel="0" collapsed="false">
      <c r="A269" s="5" t="s">
        <v>462</v>
      </c>
      <c r="B269" s="5" t="s">
        <v>10</v>
      </c>
      <c r="C269" s="5" t="s">
        <v>292</v>
      </c>
      <c r="D269" s="5" t="s">
        <v>463</v>
      </c>
      <c r="E269" s="5" t="s">
        <v>46</v>
      </c>
      <c r="F269" s="5" t="n">
        <v>5</v>
      </c>
      <c r="G269" s="5" t="s">
        <v>46</v>
      </c>
      <c r="H269" s="5" t="n">
        <v>5</v>
      </c>
      <c r="I269" s="5"/>
    </row>
    <row r="270" customFormat="false" ht="39.55" hidden="false" customHeight="false" outlineLevel="0" collapsed="false">
      <c r="A270" s="5" t="s">
        <v>464</v>
      </c>
      <c r="B270" s="5" t="s">
        <v>10</v>
      </c>
      <c r="C270" s="5" t="s">
        <v>292</v>
      </c>
      <c r="D270" s="5" t="s">
        <v>465</v>
      </c>
      <c r="E270" s="5" t="s">
        <v>46</v>
      </c>
      <c r="F270" s="5" t="n">
        <v>5</v>
      </c>
      <c r="G270" s="5" t="s">
        <v>46</v>
      </c>
      <c r="H270" s="5" t="n">
        <v>5</v>
      </c>
      <c r="I270" s="5"/>
    </row>
    <row r="271" customFormat="false" ht="39.55" hidden="false" customHeight="false" outlineLevel="0" collapsed="false">
      <c r="A271" s="5" t="s">
        <v>466</v>
      </c>
      <c r="B271" s="5" t="s">
        <v>10</v>
      </c>
      <c r="C271" s="5" t="s">
        <v>292</v>
      </c>
      <c r="D271" s="5" t="s">
        <v>467</v>
      </c>
      <c r="E271" s="5" t="s">
        <v>46</v>
      </c>
      <c r="F271" s="5" t="n">
        <v>5</v>
      </c>
      <c r="G271" s="5" t="s">
        <v>46</v>
      </c>
      <c r="H271" s="5" t="n">
        <v>5</v>
      </c>
      <c r="I271" s="5"/>
    </row>
    <row r="272" customFormat="false" ht="39.55" hidden="false" customHeight="false" outlineLevel="0" collapsed="false">
      <c r="A272" s="5" t="s">
        <v>468</v>
      </c>
      <c r="B272" s="5" t="s">
        <v>10</v>
      </c>
      <c r="C272" s="5" t="s">
        <v>292</v>
      </c>
      <c r="D272" s="5" t="s">
        <v>469</v>
      </c>
      <c r="E272" s="5" t="s">
        <v>46</v>
      </c>
      <c r="F272" s="5" t="n">
        <v>5</v>
      </c>
      <c r="G272" s="5" t="s">
        <v>46</v>
      </c>
      <c r="H272" s="5" t="n">
        <v>5</v>
      </c>
      <c r="I272" s="5"/>
    </row>
    <row r="273" customFormat="false" ht="39.55" hidden="false" customHeight="false" outlineLevel="0" collapsed="false">
      <c r="A273" s="5" t="s">
        <v>470</v>
      </c>
      <c r="B273" s="5" t="s">
        <v>10</v>
      </c>
      <c r="C273" s="5" t="s">
        <v>292</v>
      </c>
      <c r="D273" s="5" t="s">
        <v>471</v>
      </c>
      <c r="E273" s="5" t="s">
        <v>46</v>
      </c>
      <c r="F273" s="5" t="n">
        <v>5</v>
      </c>
      <c r="G273" s="5" t="s">
        <v>46</v>
      </c>
      <c r="H273" s="5" t="n">
        <v>5</v>
      </c>
      <c r="I273" s="5"/>
    </row>
    <row r="274" customFormat="false" ht="39.55" hidden="false" customHeight="false" outlineLevel="0" collapsed="false">
      <c r="A274" s="5" t="s">
        <v>472</v>
      </c>
      <c r="B274" s="5" t="s">
        <v>10</v>
      </c>
      <c r="C274" s="5" t="s">
        <v>292</v>
      </c>
      <c r="D274" s="5" t="s">
        <v>473</v>
      </c>
      <c r="E274" s="5" t="s">
        <v>46</v>
      </c>
      <c r="F274" s="5" t="n">
        <v>5</v>
      </c>
      <c r="G274" s="5" t="s">
        <v>46</v>
      </c>
      <c r="H274" s="5" t="n">
        <v>5</v>
      </c>
      <c r="I274" s="5"/>
    </row>
    <row r="275" customFormat="false" ht="15" hidden="false" customHeight="false" outlineLevel="0" collapsed="false">
      <c r="A275" s="5" t="s">
        <v>474</v>
      </c>
      <c r="B275" s="5" t="s">
        <v>11</v>
      </c>
      <c r="C275" s="5" t="s">
        <v>475</v>
      </c>
      <c r="D275" s="5" t="s">
        <v>476</v>
      </c>
      <c r="E275" s="5" t="s">
        <v>46</v>
      </c>
      <c r="F275" s="5" t="n">
        <v>5</v>
      </c>
      <c r="G275" s="5" t="s">
        <v>46</v>
      </c>
      <c r="H275" s="5" t="n">
        <v>5</v>
      </c>
      <c r="I275" s="5"/>
    </row>
    <row r="276" customFormat="false" ht="15" hidden="false" customHeight="false" outlineLevel="0" collapsed="false">
      <c r="A276" s="5" t="s">
        <v>477</v>
      </c>
      <c r="B276" s="5" t="s">
        <v>11</v>
      </c>
      <c r="C276" s="5" t="s">
        <v>475</v>
      </c>
      <c r="D276" s="5" t="s">
        <v>478</v>
      </c>
      <c r="E276" s="5" t="s">
        <v>46</v>
      </c>
      <c r="F276" s="5" t="n">
        <v>5</v>
      </c>
      <c r="G276" s="5" t="s">
        <v>46</v>
      </c>
      <c r="H276" s="5" t="n">
        <v>5</v>
      </c>
      <c r="I276" s="5"/>
    </row>
    <row r="277" customFormat="false" ht="39.55" hidden="false" customHeight="false" outlineLevel="0" collapsed="false">
      <c r="A277" s="5" t="s">
        <v>479</v>
      </c>
      <c r="B277" s="5" t="s">
        <v>11</v>
      </c>
      <c r="C277" s="5" t="s">
        <v>475</v>
      </c>
      <c r="D277" s="5" t="s">
        <v>480</v>
      </c>
      <c r="E277" s="5" t="s">
        <v>46</v>
      </c>
      <c r="F277" s="5" t="n">
        <v>5</v>
      </c>
      <c r="G277" s="5" t="s">
        <v>46</v>
      </c>
      <c r="H277" s="5" t="n">
        <v>5</v>
      </c>
      <c r="I277" s="5"/>
    </row>
    <row r="278" customFormat="false" ht="15" hidden="false" customHeight="false" outlineLevel="0" collapsed="false">
      <c r="A278" s="5" t="s">
        <v>481</v>
      </c>
      <c r="B278" s="5" t="s">
        <v>11</v>
      </c>
      <c r="C278" s="5" t="s">
        <v>475</v>
      </c>
      <c r="D278" s="5" t="s">
        <v>482</v>
      </c>
      <c r="E278" s="5" t="s">
        <v>46</v>
      </c>
      <c r="F278" s="5" t="n">
        <v>5</v>
      </c>
      <c r="G278" s="5" t="s">
        <v>46</v>
      </c>
      <c r="H278" s="5" t="n">
        <v>5</v>
      </c>
      <c r="I278" s="5"/>
    </row>
    <row r="279" customFormat="false" ht="15" hidden="false" customHeight="false" outlineLevel="0" collapsed="false">
      <c r="A279" s="5" t="s">
        <v>483</v>
      </c>
      <c r="B279" s="5" t="s">
        <v>11</v>
      </c>
      <c r="C279" s="5" t="s">
        <v>475</v>
      </c>
      <c r="D279" s="5" t="s">
        <v>484</v>
      </c>
      <c r="E279" s="5" t="s">
        <v>46</v>
      </c>
      <c r="F279" s="5" t="n">
        <v>5</v>
      </c>
      <c r="G279" s="5" t="s">
        <v>46</v>
      </c>
      <c r="H279" s="5" t="n">
        <v>5</v>
      </c>
      <c r="I279" s="5"/>
    </row>
    <row r="280" customFormat="false" ht="15" hidden="false" customHeight="false" outlineLevel="0" collapsed="false">
      <c r="A280" s="5" t="s">
        <v>485</v>
      </c>
      <c r="B280" s="5" t="s">
        <v>11</v>
      </c>
      <c r="C280" s="5" t="s">
        <v>475</v>
      </c>
      <c r="D280" s="5" t="s">
        <v>486</v>
      </c>
      <c r="E280" s="5" t="s">
        <v>46</v>
      </c>
      <c r="F280" s="5" t="n">
        <v>5</v>
      </c>
      <c r="G280" s="5" t="s">
        <v>46</v>
      </c>
      <c r="H280" s="5" t="n">
        <v>5</v>
      </c>
      <c r="I280" s="5"/>
    </row>
    <row r="281" customFormat="false" ht="15" hidden="false" customHeight="false" outlineLevel="0" collapsed="false">
      <c r="A281" s="5" t="s">
        <v>487</v>
      </c>
      <c r="B281" s="5" t="s">
        <v>11</v>
      </c>
      <c r="C281" s="5" t="s">
        <v>475</v>
      </c>
      <c r="D281" s="5" t="s">
        <v>488</v>
      </c>
      <c r="E281" s="5" t="s">
        <v>46</v>
      </c>
      <c r="F281" s="5" t="n">
        <v>5</v>
      </c>
      <c r="G281" s="5" t="s">
        <v>46</v>
      </c>
      <c r="H281" s="5" t="n">
        <v>5</v>
      </c>
      <c r="I281" s="5"/>
    </row>
    <row r="282" customFormat="false" ht="15" hidden="false" customHeight="false" outlineLevel="0" collapsed="false">
      <c r="A282" s="5" t="s">
        <v>489</v>
      </c>
      <c r="B282" s="5" t="s">
        <v>11</v>
      </c>
      <c r="C282" s="5" t="s">
        <v>475</v>
      </c>
      <c r="D282" s="5" t="s">
        <v>490</v>
      </c>
      <c r="E282" s="5" t="s">
        <v>46</v>
      </c>
      <c r="F282" s="5" t="n">
        <v>5</v>
      </c>
      <c r="G282" s="5" t="s">
        <v>46</v>
      </c>
      <c r="H282" s="5" t="n">
        <v>5</v>
      </c>
      <c r="I282" s="5"/>
    </row>
    <row r="283" customFormat="false" ht="15" hidden="false" customHeight="false" outlineLevel="0" collapsed="false">
      <c r="A283" s="5" t="s">
        <v>491</v>
      </c>
      <c r="B283" s="5" t="s">
        <v>11</v>
      </c>
      <c r="C283" s="5" t="s">
        <v>475</v>
      </c>
      <c r="D283" s="5" t="s">
        <v>492</v>
      </c>
      <c r="E283" s="5" t="s">
        <v>46</v>
      </c>
      <c r="F283" s="5" t="n">
        <v>5</v>
      </c>
      <c r="G283" s="5" t="s">
        <v>46</v>
      </c>
      <c r="H283" s="5" t="n">
        <v>5</v>
      </c>
      <c r="I283" s="5"/>
    </row>
    <row r="284" customFormat="false" ht="15" hidden="false" customHeight="false" outlineLevel="0" collapsed="false">
      <c r="A284" s="5" t="s">
        <v>493</v>
      </c>
      <c r="B284" s="5" t="s">
        <v>11</v>
      </c>
      <c r="C284" s="5" t="s">
        <v>475</v>
      </c>
      <c r="D284" s="5" t="s">
        <v>494</v>
      </c>
      <c r="E284" s="5" t="s">
        <v>46</v>
      </c>
      <c r="F284" s="5" t="n">
        <v>5</v>
      </c>
      <c r="G284" s="5" t="s">
        <v>46</v>
      </c>
      <c r="H284" s="5" t="n">
        <v>5</v>
      </c>
      <c r="I284" s="5"/>
    </row>
    <row r="285" customFormat="false" ht="15" hidden="false" customHeight="false" outlineLevel="0" collapsed="false">
      <c r="A285" s="5" t="s">
        <v>495</v>
      </c>
      <c r="B285" s="5" t="s">
        <v>11</v>
      </c>
      <c r="C285" s="5" t="s">
        <v>475</v>
      </c>
      <c r="D285" s="5" t="s">
        <v>496</v>
      </c>
      <c r="E285" s="5" t="s">
        <v>46</v>
      </c>
      <c r="F285" s="5" t="n">
        <v>5</v>
      </c>
      <c r="G285" s="5" t="s">
        <v>46</v>
      </c>
      <c r="H285" s="5" t="n">
        <v>5</v>
      </c>
      <c r="I285" s="5"/>
    </row>
    <row r="286" customFormat="false" ht="39.55" hidden="false" customHeight="false" outlineLevel="0" collapsed="false">
      <c r="A286" s="5" t="s">
        <v>497</v>
      </c>
      <c r="B286" s="5" t="s">
        <v>11</v>
      </c>
      <c r="C286" s="5" t="s">
        <v>475</v>
      </c>
      <c r="D286" s="5" t="s">
        <v>498</v>
      </c>
      <c r="E286" s="5" t="s">
        <v>46</v>
      </c>
      <c r="F286" s="5" t="n">
        <v>5</v>
      </c>
      <c r="G286" s="5" t="s">
        <v>46</v>
      </c>
      <c r="H286" s="5" t="n">
        <v>5</v>
      </c>
      <c r="I286" s="5"/>
    </row>
    <row r="287" customFormat="false" ht="15" hidden="false" customHeight="false" outlineLevel="0" collapsed="false">
      <c r="A287" s="5" t="s">
        <v>499</v>
      </c>
      <c r="B287" s="5" t="s">
        <v>11</v>
      </c>
      <c r="C287" s="5" t="s">
        <v>475</v>
      </c>
      <c r="D287" s="5" t="s">
        <v>500</v>
      </c>
      <c r="E287" s="5" t="s">
        <v>46</v>
      </c>
      <c r="F287" s="5" t="n">
        <v>5</v>
      </c>
      <c r="G287" s="5" t="s">
        <v>46</v>
      </c>
      <c r="H287" s="5" t="n">
        <v>5</v>
      </c>
      <c r="I287" s="5"/>
    </row>
    <row r="288" customFormat="false" ht="15" hidden="false" customHeight="false" outlineLevel="0" collapsed="false">
      <c r="A288" s="5" t="s">
        <v>501</v>
      </c>
      <c r="B288" s="5" t="s">
        <v>11</v>
      </c>
      <c r="C288" s="5" t="s">
        <v>475</v>
      </c>
      <c r="D288" s="5" t="s">
        <v>502</v>
      </c>
      <c r="E288" s="5" t="s">
        <v>46</v>
      </c>
      <c r="F288" s="5" t="n">
        <v>5</v>
      </c>
      <c r="G288" s="5" t="s">
        <v>46</v>
      </c>
      <c r="H288" s="5" t="n">
        <v>5</v>
      </c>
      <c r="I288" s="5"/>
    </row>
    <row r="289" customFormat="false" ht="15" hidden="false" customHeight="false" outlineLevel="0" collapsed="false">
      <c r="A289" s="5" t="s">
        <v>503</v>
      </c>
      <c r="B289" s="5" t="s">
        <v>11</v>
      </c>
      <c r="C289" s="5" t="s">
        <v>475</v>
      </c>
      <c r="D289" s="5" t="s">
        <v>504</v>
      </c>
      <c r="E289" s="5" t="s">
        <v>46</v>
      </c>
      <c r="F289" s="5" t="n">
        <v>5</v>
      </c>
      <c r="G289" s="5" t="s">
        <v>46</v>
      </c>
      <c r="H289" s="5" t="n">
        <v>5</v>
      </c>
      <c r="I289" s="5"/>
    </row>
    <row r="290" customFormat="false" ht="15" hidden="false" customHeight="false" outlineLevel="0" collapsed="false">
      <c r="A290" s="5" t="s">
        <v>505</v>
      </c>
      <c r="B290" s="5" t="s">
        <v>11</v>
      </c>
      <c r="C290" s="5" t="s">
        <v>475</v>
      </c>
      <c r="D290" s="5" t="s">
        <v>506</v>
      </c>
      <c r="E290" s="5" t="s">
        <v>46</v>
      </c>
      <c r="F290" s="5" t="n">
        <v>5</v>
      </c>
      <c r="G290" s="5" t="s">
        <v>46</v>
      </c>
      <c r="H290" s="5" t="n">
        <v>5</v>
      </c>
      <c r="I290" s="5"/>
    </row>
    <row r="291" customFormat="false" ht="39.55" hidden="false" customHeight="false" outlineLevel="0" collapsed="false">
      <c r="A291" s="5" t="s">
        <v>507</v>
      </c>
      <c r="B291" s="5" t="s">
        <v>11</v>
      </c>
      <c r="C291" s="5" t="s">
        <v>475</v>
      </c>
      <c r="D291" s="5" t="s">
        <v>508</v>
      </c>
      <c r="E291" s="5" t="s">
        <v>46</v>
      </c>
      <c r="F291" s="5" t="n">
        <v>5</v>
      </c>
      <c r="G291" s="5" t="s">
        <v>46</v>
      </c>
      <c r="H291" s="5" t="n">
        <v>5</v>
      </c>
      <c r="I291" s="5"/>
    </row>
    <row r="292" customFormat="false" ht="26.85" hidden="false" customHeight="false" outlineLevel="0" collapsed="false">
      <c r="A292" s="5" t="s">
        <v>509</v>
      </c>
      <c r="B292" s="5" t="s">
        <v>11</v>
      </c>
      <c r="C292" s="5" t="s">
        <v>475</v>
      </c>
      <c r="D292" s="5" t="s">
        <v>510</v>
      </c>
      <c r="E292" s="5" t="s">
        <v>46</v>
      </c>
      <c r="F292" s="5" t="n">
        <v>5</v>
      </c>
      <c r="G292" s="5" t="s">
        <v>46</v>
      </c>
      <c r="H292" s="5" t="n">
        <v>5</v>
      </c>
      <c r="I292" s="5"/>
    </row>
    <row r="293" customFormat="false" ht="15" hidden="false" customHeight="false" outlineLevel="0" collapsed="false">
      <c r="A293" s="5" t="s">
        <v>511</v>
      </c>
      <c r="B293" s="5" t="s">
        <v>11</v>
      </c>
      <c r="C293" s="5" t="s">
        <v>475</v>
      </c>
      <c r="D293" s="5" t="s">
        <v>512</v>
      </c>
      <c r="E293" s="5" t="s">
        <v>46</v>
      </c>
      <c r="F293" s="5" t="n">
        <v>5</v>
      </c>
      <c r="G293" s="5" t="s">
        <v>46</v>
      </c>
      <c r="H293" s="5" t="n">
        <v>5</v>
      </c>
      <c r="I293" s="5"/>
    </row>
    <row r="294" customFormat="false" ht="15" hidden="false" customHeight="false" outlineLevel="0" collapsed="false">
      <c r="A294" s="5" t="s">
        <v>513</v>
      </c>
      <c r="B294" s="5" t="s">
        <v>11</v>
      </c>
      <c r="C294" s="5" t="s">
        <v>475</v>
      </c>
      <c r="D294" s="5" t="s">
        <v>514</v>
      </c>
      <c r="E294" s="5" t="s">
        <v>46</v>
      </c>
      <c r="F294" s="5" t="n">
        <v>5</v>
      </c>
      <c r="G294" s="5" t="s">
        <v>46</v>
      </c>
      <c r="H294" s="5" t="n">
        <v>5</v>
      </c>
      <c r="I294" s="5"/>
    </row>
    <row r="295" customFormat="false" ht="39.55" hidden="false" customHeight="false" outlineLevel="0" collapsed="false">
      <c r="A295" s="5" t="s">
        <v>515</v>
      </c>
      <c r="B295" s="5" t="s">
        <v>11</v>
      </c>
      <c r="C295" s="5" t="s">
        <v>475</v>
      </c>
      <c r="D295" s="5" t="s">
        <v>516</v>
      </c>
      <c r="E295" s="5" t="s">
        <v>46</v>
      </c>
      <c r="F295" s="5" t="n">
        <v>5</v>
      </c>
      <c r="G295" s="5" t="s">
        <v>46</v>
      </c>
      <c r="H295" s="5" t="n">
        <v>5</v>
      </c>
      <c r="I295" s="5"/>
    </row>
    <row r="296" customFormat="false" ht="39.55" hidden="false" customHeight="false" outlineLevel="0" collapsed="false">
      <c r="A296" s="5" t="s">
        <v>517</v>
      </c>
      <c r="B296" s="5" t="s">
        <v>11</v>
      </c>
      <c r="C296" s="5" t="s">
        <v>475</v>
      </c>
      <c r="D296" s="5" t="s">
        <v>518</v>
      </c>
      <c r="E296" s="5" t="s">
        <v>46</v>
      </c>
      <c r="F296" s="5" t="n">
        <v>5</v>
      </c>
      <c r="G296" s="5" t="s">
        <v>46</v>
      </c>
      <c r="H296" s="5" t="n">
        <v>5</v>
      </c>
      <c r="I296" s="5"/>
    </row>
    <row r="297" customFormat="false" ht="15" hidden="false" customHeight="false" outlineLevel="0" collapsed="false">
      <c r="A297" s="5" t="s">
        <v>519</v>
      </c>
      <c r="B297" s="5" t="s">
        <v>11</v>
      </c>
      <c r="C297" s="5" t="s">
        <v>475</v>
      </c>
      <c r="D297" s="5" t="s">
        <v>520</v>
      </c>
      <c r="E297" s="5" t="s">
        <v>46</v>
      </c>
      <c r="F297" s="5" t="n">
        <v>5</v>
      </c>
      <c r="G297" s="5" t="s">
        <v>46</v>
      </c>
      <c r="H297" s="5" t="n">
        <v>5</v>
      </c>
      <c r="I297" s="5"/>
    </row>
    <row r="298" customFormat="false" ht="15" hidden="false" customHeight="false" outlineLevel="0" collapsed="false">
      <c r="A298" s="5" t="s">
        <v>521</v>
      </c>
      <c r="B298" s="5" t="s">
        <v>11</v>
      </c>
      <c r="C298" s="5" t="s">
        <v>475</v>
      </c>
      <c r="D298" s="5" t="s">
        <v>522</v>
      </c>
      <c r="E298" s="5" t="s">
        <v>46</v>
      </c>
      <c r="F298" s="5" t="n">
        <v>5</v>
      </c>
      <c r="G298" s="5" t="s">
        <v>46</v>
      </c>
      <c r="H298" s="5" t="n">
        <v>5</v>
      </c>
      <c r="I298" s="5"/>
    </row>
    <row r="299" customFormat="false" ht="15" hidden="false" customHeight="false" outlineLevel="0" collapsed="false">
      <c r="A299" s="5" t="s">
        <v>523</v>
      </c>
      <c r="B299" s="5" t="s">
        <v>11</v>
      </c>
      <c r="C299" s="5" t="s">
        <v>475</v>
      </c>
      <c r="D299" s="5" t="s">
        <v>524</v>
      </c>
      <c r="E299" s="5" t="s">
        <v>46</v>
      </c>
      <c r="F299" s="5" t="n">
        <v>5</v>
      </c>
      <c r="G299" s="5" t="s">
        <v>46</v>
      </c>
      <c r="H299" s="5" t="n">
        <v>5</v>
      </c>
      <c r="I299" s="5"/>
    </row>
    <row r="300" customFormat="false" ht="15" hidden="false" customHeight="false" outlineLevel="0" collapsed="false">
      <c r="A300" s="5" t="s">
        <v>525</v>
      </c>
      <c r="B300" s="5" t="s">
        <v>11</v>
      </c>
      <c r="C300" s="5" t="s">
        <v>475</v>
      </c>
      <c r="D300" s="5" t="s">
        <v>526</v>
      </c>
      <c r="E300" s="5" t="s">
        <v>46</v>
      </c>
      <c r="F300" s="5" t="n">
        <v>5</v>
      </c>
      <c r="G300" s="5" t="s">
        <v>46</v>
      </c>
      <c r="H300" s="5" t="n">
        <v>5</v>
      </c>
      <c r="I300" s="5"/>
    </row>
    <row r="301" customFormat="false" ht="15" hidden="false" customHeight="false" outlineLevel="0" collapsed="false">
      <c r="A301" s="5" t="s">
        <v>527</v>
      </c>
      <c r="B301" s="5" t="s">
        <v>11</v>
      </c>
      <c r="C301" s="5" t="s">
        <v>475</v>
      </c>
      <c r="D301" s="5" t="s">
        <v>528</v>
      </c>
      <c r="E301" s="5" t="s">
        <v>46</v>
      </c>
      <c r="F301" s="5" t="n">
        <v>5</v>
      </c>
      <c r="G301" s="5" t="s">
        <v>46</v>
      </c>
      <c r="H301" s="5" t="n">
        <v>5</v>
      </c>
      <c r="I301" s="5"/>
    </row>
    <row r="302" customFormat="false" ht="15" hidden="false" customHeight="false" outlineLevel="0" collapsed="false">
      <c r="A302" s="5" t="s">
        <v>529</v>
      </c>
      <c r="B302" s="5" t="s">
        <v>11</v>
      </c>
      <c r="C302" s="5" t="s">
        <v>475</v>
      </c>
      <c r="D302" s="5" t="s">
        <v>530</v>
      </c>
      <c r="E302" s="5" t="s">
        <v>46</v>
      </c>
      <c r="F302" s="5" t="n">
        <v>5</v>
      </c>
      <c r="G302" s="5" t="s">
        <v>46</v>
      </c>
      <c r="H302" s="5" t="n">
        <v>5</v>
      </c>
      <c r="I302" s="5"/>
    </row>
    <row r="303" customFormat="false" ht="15" hidden="false" customHeight="false" outlineLevel="0" collapsed="false">
      <c r="A303" s="5" t="s">
        <v>243</v>
      </c>
      <c r="B303" s="5" t="s">
        <v>12</v>
      </c>
      <c r="C303" s="5" t="s">
        <v>531</v>
      </c>
      <c r="D303" s="5" t="s">
        <v>532</v>
      </c>
      <c r="E303" s="5" t="s">
        <v>46</v>
      </c>
      <c r="F303" s="5" t="n">
        <v>5</v>
      </c>
      <c r="G303" s="5" t="s">
        <v>46</v>
      </c>
      <c r="H303" s="5" t="n">
        <v>5</v>
      </c>
      <c r="I303" s="5"/>
    </row>
    <row r="304" customFormat="false" ht="15" hidden="false" customHeight="false" outlineLevel="0" collapsed="false">
      <c r="A304" s="5" t="s">
        <v>246</v>
      </c>
      <c r="B304" s="5" t="s">
        <v>12</v>
      </c>
      <c r="C304" s="5" t="s">
        <v>531</v>
      </c>
      <c r="D304" s="5" t="s">
        <v>533</v>
      </c>
      <c r="E304" s="5" t="s">
        <v>46</v>
      </c>
      <c r="F304" s="5" t="n">
        <v>5</v>
      </c>
      <c r="G304" s="5" t="s">
        <v>46</v>
      </c>
      <c r="H304" s="5" t="n">
        <v>5</v>
      </c>
      <c r="I304" s="5"/>
    </row>
    <row r="305" customFormat="false" ht="15" hidden="false" customHeight="false" outlineLevel="0" collapsed="false">
      <c r="A305" s="5" t="s">
        <v>248</v>
      </c>
      <c r="B305" s="5" t="s">
        <v>12</v>
      </c>
      <c r="C305" s="5" t="s">
        <v>531</v>
      </c>
      <c r="D305" s="5" t="s">
        <v>534</v>
      </c>
      <c r="E305" s="5" t="s">
        <v>46</v>
      </c>
      <c r="F305" s="5" t="n">
        <v>5</v>
      </c>
      <c r="G305" s="5" t="s">
        <v>46</v>
      </c>
      <c r="H305" s="5" t="n">
        <v>5</v>
      </c>
      <c r="I305" s="5"/>
    </row>
    <row r="306" customFormat="false" ht="15" hidden="false" customHeight="false" outlineLevel="0" collapsed="false">
      <c r="A306" s="5" t="s">
        <v>250</v>
      </c>
      <c r="B306" s="5" t="s">
        <v>12</v>
      </c>
      <c r="C306" s="5" t="s">
        <v>531</v>
      </c>
      <c r="D306" s="5" t="s">
        <v>535</v>
      </c>
      <c r="E306" s="5" t="s">
        <v>46</v>
      </c>
      <c r="F306" s="5" t="n">
        <v>5</v>
      </c>
      <c r="G306" s="5" t="s">
        <v>46</v>
      </c>
      <c r="H306" s="5" t="n">
        <v>5</v>
      </c>
      <c r="I306" s="5"/>
    </row>
    <row r="307" customFormat="false" ht="15" hidden="false" customHeight="false" outlineLevel="0" collapsed="false">
      <c r="A307" s="5" t="s">
        <v>252</v>
      </c>
      <c r="B307" s="5" t="s">
        <v>12</v>
      </c>
      <c r="C307" s="5" t="s">
        <v>531</v>
      </c>
      <c r="D307" s="5" t="s">
        <v>536</v>
      </c>
      <c r="E307" s="5" t="s">
        <v>46</v>
      </c>
      <c r="F307" s="5" t="n">
        <v>5</v>
      </c>
      <c r="G307" s="5" t="s">
        <v>46</v>
      </c>
      <c r="H307" s="5" t="n">
        <v>5</v>
      </c>
      <c r="I307" s="5"/>
    </row>
    <row r="308" customFormat="false" ht="15" hidden="false" customHeight="false" outlineLevel="0" collapsed="false">
      <c r="A308" s="5" t="s">
        <v>253</v>
      </c>
      <c r="B308" s="5" t="s">
        <v>12</v>
      </c>
      <c r="C308" s="5" t="s">
        <v>531</v>
      </c>
      <c r="D308" s="5" t="s">
        <v>537</v>
      </c>
      <c r="E308" s="5" t="s">
        <v>46</v>
      </c>
      <c r="F308" s="5" t="n">
        <v>5</v>
      </c>
      <c r="G308" s="5" t="s">
        <v>46</v>
      </c>
      <c r="H308" s="5" t="n">
        <v>5</v>
      </c>
      <c r="I308" s="5"/>
    </row>
    <row r="309" customFormat="false" ht="15" hidden="false" customHeight="false" outlineLevel="0" collapsed="false">
      <c r="A309" s="5" t="s">
        <v>255</v>
      </c>
      <c r="B309" s="5" t="s">
        <v>12</v>
      </c>
      <c r="C309" s="5" t="s">
        <v>531</v>
      </c>
      <c r="D309" s="5" t="s">
        <v>538</v>
      </c>
      <c r="E309" s="5" t="s">
        <v>46</v>
      </c>
      <c r="F309" s="5" t="n">
        <v>5</v>
      </c>
      <c r="G309" s="5" t="s">
        <v>46</v>
      </c>
      <c r="H309" s="5" t="n">
        <v>5</v>
      </c>
      <c r="I309" s="5"/>
    </row>
    <row r="310" customFormat="false" ht="15" hidden="false" customHeight="false" outlineLevel="0" collapsed="false">
      <c r="A310" s="5" t="s">
        <v>257</v>
      </c>
      <c r="B310" s="5" t="s">
        <v>12</v>
      </c>
      <c r="C310" s="5" t="s">
        <v>531</v>
      </c>
      <c r="D310" s="5" t="s">
        <v>539</v>
      </c>
      <c r="E310" s="5" t="s">
        <v>46</v>
      </c>
      <c r="F310" s="5" t="n">
        <v>5</v>
      </c>
      <c r="G310" s="5" t="s">
        <v>46</v>
      </c>
      <c r="H310" s="5" t="n">
        <v>5</v>
      </c>
      <c r="I310" s="5"/>
    </row>
    <row r="311" customFormat="false" ht="15" hidden="false" customHeight="false" outlineLevel="0" collapsed="false">
      <c r="A311" s="5" t="s">
        <v>259</v>
      </c>
      <c r="B311" s="5" t="s">
        <v>12</v>
      </c>
      <c r="C311" s="5" t="s">
        <v>531</v>
      </c>
      <c r="D311" s="5" t="s">
        <v>540</v>
      </c>
      <c r="E311" s="5" t="s">
        <v>46</v>
      </c>
      <c r="F311" s="5" t="n">
        <v>5</v>
      </c>
      <c r="G311" s="5" t="s">
        <v>46</v>
      </c>
      <c r="H311" s="5" t="n">
        <v>5</v>
      </c>
      <c r="I311" s="5"/>
    </row>
    <row r="312" customFormat="false" ht="26.85" hidden="false" customHeight="false" outlineLevel="0" collapsed="false">
      <c r="A312" s="5" t="s">
        <v>261</v>
      </c>
      <c r="B312" s="5" t="s">
        <v>12</v>
      </c>
      <c r="C312" s="5" t="s">
        <v>531</v>
      </c>
      <c r="D312" s="5" t="s">
        <v>541</v>
      </c>
      <c r="E312" s="5" t="s">
        <v>46</v>
      </c>
      <c r="F312" s="5" t="n">
        <v>5</v>
      </c>
      <c r="G312" s="5" t="s">
        <v>46</v>
      </c>
      <c r="H312" s="5" t="n">
        <v>5</v>
      </c>
      <c r="I312" s="5"/>
    </row>
    <row r="313" customFormat="false" ht="15" hidden="false" customHeight="false" outlineLevel="0" collapsed="false">
      <c r="A313" s="5" t="s">
        <v>263</v>
      </c>
      <c r="B313" s="5" t="s">
        <v>12</v>
      </c>
      <c r="C313" s="5" t="s">
        <v>531</v>
      </c>
      <c r="D313" s="5" t="s">
        <v>542</v>
      </c>
      <c r="E313" s="5" t="s">
        <v>46</v>
      </c>
      <c r="F313" s="5" t="n">
        <v>5</v>
      </c>
      <c r="G313" s="5" t="s">
        <v>46</v>
      </c>
      <c r="H313" s="5" t="n">
        <v>5</v>
      </c>
      <c r="I313" s="5"/>
    </row>
    <row r="314" customFormat="false" ht="15" hidden="false" customHeight="false" outlineLevel="0" collapsed="false">
      <c r="A314" s="5" t="s">
        <v>265</v>
      </c>
      <c r="B314" s="5" t="s">
        <v>12</v>
      </c>
      <c r="C314" s="5" t="s">
        <v>531</v>
      </c>
      <c r="D314" s="5" t="s">
        <v>543</v>
      </c>
      <c r="E314" s="5" t="s">
        <v>46</v>
      </c>
      <c r="F314" s="5" t="n">
        <v>5</v>
      </c>
      <c r="G314" s="5" t="s">
        <v>46</v>
      </c>
      <c r="H314" s="5" t="n">
        <v>5</v>
      </c>
      <c r="I314" s="5"/>
    </row>
    <row r="315" customFormat="false" ht="15" hidden="false" customHeight="false" outlineLevel="0" collapsed="false">
      <c r="A315" s="5" t="s">
        <v>267</v>
      </c>
      <c r="B315" s="5" t="s">
        <v>12</v>
      </c>
      <c r="C315" s="5" t="s">
        <v>531</v>
      </c>
      <c r="D315" s="5" t="s">
        <v>544</v>
      </c>
      <c r="E315" s="5" t="s">
        <v>46</v>
      </c>
      <c r="F315" s="5" t="n">
        <v>5</v>
      </c>
      <c r="G315" s="5" t="s">
        <v>46</v>
      </c>
      <c r="H315" s="5" t="n">
        <v>5</v>
      </c>
      <c r="I315" s="5"/>
    </row>
    <row r="316" customFormat="false" ht="15" hidden="false" customHeight="false" outlineLevel="0" collapsed="false">
      <c r="A316" s="5" t="s">
        <v>269</v>
      </c>
      <c r="B316" s="5" t="s">
        <v>12</v>
      </c>
      <c r="C316" s="5" t="s">
        <v>531</v>
      </c>
      <c r="D316" s="5" t="s">
        <v>545</v>
      </c>
      <c r="E316" s="5" t="s">
        <v>46</v>
      </c>
      <c r="F316" s="5" t="n">
        <v>5</v>
      </c>
      <c r="G316" s="5" t="s">
        <v>46</v>
      </c>
      <c r="H316" s="5" t="n">
        <v>5</v>
      </c>
      <c r="I316" s="5"/>
    </row>
    <row r="317" customFormat="false" ht="15" hidden="false" customHeight="false" outlineLevel="0" collapsed="false">
      <c r="A317" s="5" t="s">
        <v>271</v>
      </c>
      <c r="B317" s="5" t="s">
        <v>12</v>
      </c>
      <c r="C317" s="5" t="s">
        <v>531</v>
      </c>
      <c r="D317" s="5" t="s">
        <v>546</v>
      </c>
      <c r="E317" s="5" t="s">
        <v>46</v>
      </c>
      <c r="F317" s="5" t="n">
        <v>5</v>
      </c>
      <c r="G317" s="5" t="s">
        <v>46</v>
      </c>
      <c r="H317" s="5" t="n">
        <v>5</v>
      </c>
      <c r="I317" s="5"/>
    </row>
    <row r="318" customFormat="false" ht="15" hidden="false" customHeight="false" outlineLevel="0" collapsed="false">
      <c r="A318" s="5" t="s">
        <v>273</v>
      </c>
      <c r="B318" s="5" t="s">
        <v>12</v>
      </c>
      <c r="C318" s="5" t="s">
        <v>531</v>
      </c>
      <c r="D318" s="5" t="s">
        <v>547</v>
      </c>
      <c r="E318" s="5" t="s">
        <v>46</v>
      </c>
      <c r="F318" s="5" t="n">
        <v>5</v>
      </c>
      <c r="G318" s="5" t="s">
        <v>46</v>
      </c>
      <c r="H318" s="5" t="n">
        <v>5</v>
      </c>
      <c r="I318" s="5"/>
    </row>
    <row r="319" customFormat="false" ht="15" hidden="false" customHeight="false" outlineLevel="0" collapsed="false">
      <c r="A319" s="5" t="s">
        <v>275</v>
      </c>
      <c r="B319" s="5" t="s">
        <v>12</v>
      </c>
      <c r="C319" s="5" t="s">
        <v>531</v>
      </c>
      <c r="D319" s="5" t="s">
        <v>548</v>
      </c>
      <c r="E319" s="5" t="s">
        <v>46</v>
      </c>
      <c r="F319" s="5" t="n">
        <v>5</v>
      </c>
      <c r="G319" s="5" t="s">
        <v>46</v>
      </c>
      <c r="H319" s="5" t="n">
        <v>5</v>
      </c>
      <c r="I319" s="5"/>
    </row>
    <row r="320" customFormat="false" ht="15" hidden="false" customHeight="false" outlineLevel="0" collapsed="false">
      <c r="A320" s="5" t="s">
        <v>277</v>
      </c>
      <c r="B320" s="5" t="s">
        <v>12</v>
      </c>
      <c r="C320" s="5" t="s">
        <v>531</v>
      </c>
      <c r="D320" s="5" t="s">
        <v>549</v>
      </c>
      <c r="E320" s="5" t="s">
        <v>46</v>
      </c>
      <c r="F320" s="5" t="n">
        <v>5</v>
      </c>
      <c r="G320" s="5" t="s">
        <v>46</v>
      </c>
      <c r="H320" s="5" t="n">
        <v>5</v>
      </c>
      <c r="I320" s="5"/>
    </row>
    <row r="321" customFormat="false" ht="15" hidden="false" customHeight="false" outlineLevel="0" collapsed="false">
      <c r="A321" s="5" t="s">
        <v>279</v>
      </c>
      <c r="B321" s="5" t="s">
        <v>12</v>
      </c>
      <c r="C321" s="5" t="s">
        <v>531</v>
      </c>
      <c r="D321" s="5" t="s">
        <v>550</v>
      </c>
      <c r="E321" s="5" t="s">
        <v>46</v>
      </c>
      <c r="F321" s="5" t="n">
        <v>5</v>
      </c>
      <c r="G321" s="5" t="s">
        <v>46</v>
      </c>
      <c r="H321" s="5" t="n">
        <v>5</v>
      </c>
      <c r="I321" s="5"/>
    </row>
    <row r="322" customFormat="false" ht="15" hidden="false" customHeight="false" outlineLevel="0" collapsed="false">
      <c r="A322" s="5" t="s">
        <v>281</v>
      </c>
      <c r="B322" s="5" t="s">
        <v>12</v>
      </c>
      <c r="C322" s="5" t="s">
        <v>531</v>
      </c>
      <c r="D322" s="5" t="s">
        <v>551</v>
      </c>
      <c r="E322" s="5" t="s">
        <v>46</v>
      </c>
      <c r="F322" s="5" t="n">
        <v>5</v>
      </c>
      <c r="G322" s="5" t="s">
        <v>46</v>
      </c>
      <c r="H322" s="5" t="n">
        <v>5</v>
      </c>
      <c r="I322" s="5"/>
    </row>
    <row r="323" customFormat="false" ht="15" hidden="false" customHeight="false" outlineLevel="0" collapsed="false">
      <c r="A323" s="5" t="s">
        <v>283</v>
      </c>
      <c r="B323" s="5" t="s">
        <v>12</v>
      </c>
      <c r="C323" s="5" t="s">
        <v>531</v>
      </c>
      <c r="D323" s="5" t="s">
        <v>552</v>
      </c>
      <c r="E323" s="5" t="s">
        <v>46</v>
      </c>
      <c r="F323" s="5" t="n">
        <v>5</v>
      </c>
      <c r="G323" s="5" t="s">
        <v>46</v>
      </c>
      <c r="H323" s="5" t="n">
        <v>5</v>
      </c>
      <c r="I323" s="5"/>
    </row>
    <row r="324" customFormat="false" ht="15" hidden="false" customHeight="false" outlineLevel="0" collapsed="false">
      <c r="A324" s="5" t="s">
        <v>285</v>
      </c>
      <c r="B324" s="5" t="s">
        <v>12</v>
      </c>
      <c r="C324" s="5" t="s">
        <v>531</v>
      </c>
      <c r="D324" s="5" t="s">
        <v>553</v>
      </c>
      <c r="E324" s="5" t="s">
        <v>46</v>
      </c>
      <c r="F324" s="5" t="n">
        <v>5</v>
      </c>
      <c r="G324" s="5" t="s">
        <v>46</v>
      </c>
      <c r="H324" s="5" t="n">
        <v>5</v>
      </c>
      <c r="I324" s="5"/>
    </row>
    <row r="325" customFormat="false" ht="15" hidden="false" customHeight="false" outlineLevel="0" collapsed="false">
      <c r="A325" s="5" t="s">
        <v>287</v>
      </c>
      <c r="B325" s="5" t="s">
        <v>12</v>
      </c>
      <c r="C325" s="5" t="s">
        <v>531</v>
      </c>
      <c r="D325" s="5" t="s">
        <v>554</v>
      </c>
      <c r="E325" s="5" t="s">
        <v>46</v>
      </c>
      <c r="F325" s="5" t="n">
        <v>5</v>
      </c>
      <c r="G325" s="5" t="s">
        <v>46</v>
      </c>
      <c r="H325" s="5" t="n">
        <v>5</v>
      </c>
      <c r="I325" s="5"/>
    </row>
    <row r="326" customFormat="false" ht="15" hidden="false" customHeight="false" outlineLevel="0" collapsed="false">
      <c r="A326" s="5" t="s">
        <v>289</v>
      </c>
      <c r="B326" s="5" t="s">
        <v>12</v>
      </c>
      <c r="C326" s="5" t="s">
        <v>531</v>
      </c>
      <c r="D326" s="5" t="s">
        <v>555</v>
      </c>
      <c r="E326" s="5" t="s">
        <v>46</v>
      </c>
      <c r="F326" s="5" t="n">
        <v>5</v>
      </c>
      <c r="G326" s="5" t="s">
        <v>46</v>
      </c>
      <c r="H326" s="5" t="n">
        <v>5</v>
      </c>
      <c r="I326" s="5"/>
    </row>
    <row r="327" customFormat="false" ht="15" hidden="false" customHeight="false" outlineLevel="0" collapsed="false">
      <c r="A327" s="5" t="s">
        <v>556</v>
      </c>
      <c r="B327" s="5" t="s">
        <v>12</v>
      </c>
      <c r="C327" s="5" t="s">
        <v>531</v>
      </c>
      <c r="D327" s="5" t="s">
        <v>557</v>
      </c>
      <c r="E327" s="5" t="s">
        <v>46</v>
      </c>
      <c r="F327" s="5" t="n">
        <v>5</v>
      </c>
      <c r="G327" s="5" t="s">
        <v>46</v>
      </c>
      <c r="H327" s="5" t="n">
        <v>5</v>
      </c>
      <c r="I327" s="5"/>
    </row>
    <row r="328" customFormat="false" ht="15" hidden="false" customHeight="false" outlineLevel="0" collapsed="false">
      <c r="A328" s="5" t="s">
        <v>558</v>
      </c>
      <c r="B328" s="5" t="s">
        <v>12</v>
      </c>
      <c r="C328" s="5" t="s">
        <v>531</v>
      </c>
      <c r="D328" s="5" t="s">
        <v>559</v>
      </c>
      <c r="E328" s="5" t="s">
        <v>46</v>
      </c>
      <c r="F328" s="5" t="n">
        <v>5</v>
      </c>
      <c r="G328" s="5" t="s">
        <v>46</v>
      </c>
      <c r="H328" s="5" t="n">
        <v>5</v>
      </c>
      <c r="I328" s="5"/>
    </row>
    <row r="329" customFormat="false" ht="15" hidden="false" customHeight="false" outlineLevel="0" collapsed="false">
      <c r="A329" s="5" t="s">
        <v>560</v>
      </c>
      <c r="B329" s="5" t="s">
        <v>12</v>
      </c>
      <c r="C329" s="5" t="s">
        <v>531</v>
      </c>
      <c r="D329" s="5" t="s">
        <v>561</v>
      </c>
      <c r="E329" s="5" t="s">
        <v>46</v>
      </c>
      <c r="F329" s="5" t="n">
        <v>5</v>
      </c>
      <c r="G329" s="5" t="s">
        <v>46</v>
      </c>
      <c r="H329" s="5" t="n">
        <v>5</v>
      </c>
      <c r="I329" s="5"/>
    </row>
    <row r="330" customFormat="false" ht="15" hidden="false" customHeight="false" outlineLevel="0" collapsed="false">
      <c r="A330" s="5" t="s">
        <v>562</v>
      </c>
      <c r="B330" s="5" t="s">
        <v>12</v>
      </c>
      <c r="C330" s="5" t="s">
        <v>531</v>
      </c>
      <c r="D330" s="5" t="s">
        <v>563</v>
      </c>
      <c r="E330" s="5" t="s">
        <v>46</v>
      </c>
      <c r="F330" s="5" t="n">
        <v>5</v>
      </c>
      <c r="G330" s="5" t="s">
        <v>46</v>
      </c>
      <c r="H330" s="5" t="n">
        <v>5</v>
      </c>
      <c r="I330" s="5"/>
    </row>
    <row r="331" customFormat="false" ht="26.85" hidden="false" customHeight="false" outlineLevel="0" collapsed="false">
      <c r="A331" s="5" t="s">
        <v>564</v>
      </c>
      <c r="B331" s="5" t="s">
        <v>12</v>
      </c>
      <c r="C331" s="5" t="s">
        <v>531</v>
      </c>
      <c r="D331" s="5" t="s">
        <v>565</v>
      </c>
      <c r="E331" s="5" t="s">
        <v>46</v>
      </c>
      <c r="F331" s="5" t="n">
        <v>5</v>
      </c>
      <c r="G331" s="5" t="s">
        <v>46</v>
      </c>
      <c r="H331" s="5" t="n">
        <v>5</v>
      </c>
      <c r="I331" s="5"/>
    </row>
    <row r="332" customFormat="false" ht="15" hidden="false" customHeight="false" outlineLevel="0" collapsed="false">
      <c r="A332" s="5" t="s">
        <v>566</v>
      </c>
      <c r="B332" s="5" t="s">
        <v>12</v>
      </c>
      <c r="C332" s="5" t="s">
        <v>531</v>
      </c>
      <c r="D332" s="5" t="s">
        <v>567</v>
      </c>
      <c r="E332" s="5" t="s">
        <v>46</v>
      </c>
      <c r="F332" s="5" t="n">
        <v>5</v>
      </c>
      <c r="G332" s="5" t="s">
        <v>46</v>
      </c>
      <c r="H332" s="5" t="n">
        <v>5</v>
      </c>
      <c r="I332" s="5"/>
    </row>
    <row r="333" customFormat="false" ht="15" hidden="false" customHeight="false" outlineLevel="0" collapsed="false">
      <c r="A333" s="5" t="s">
        <v>568</v>
      </c>
      <c r="B333" s="5" t="s">
        <v>12</v>
      </c>
      <c r="C333" s="5" t="s">
        <v>531</v>
      </c>
      <c r="D333" s="5" t="s">
        <v>569</v>
      </c>
      <c r="E333" s="5" t="s">
        <v>46</v>
      </c>
      <c r="F333" s="5" t="n">
        <v>5</v>
      </c>
      <c r="G333" s="5" t="s">
        <v>46</v>
      </c>
      <c r="H333" s="5" t="n">
        <v>5</v>
      </c>
      <c r="I333" s="5"/>
    </row>
    <row r="334" customFormat="false" ht="15" hidden="false" customHeight="false" outlineLevel="0" collapsed="false">
      <c r="A334" s="5" t="s">
        <v>570</v>
      </c>
      <c r="B334" s="5" t="s">
        <v>12</v>
      </c>
      <c r="C334" s="5" t="s">
        <v>531</v>
      </c>
      <c r="D334" s="5" t="s">
        <v>571</v>
      </c>
      <c r="E334" s="5" t="s">
        <v>46</v>
      </c>
      <c r="F334" s="5" t="n">
        <v>5</v>
      </c>
      <c r="G334" s="5" t="s">
        <v>46</v>
      </c>
      <c r="H334" s="5" t="n">
        <v>5</v>
      </c>
      <c r="I334" s="5"/>
    </row>
    <row r="335" customFormat="false" ht="15" hidden="false" customHeight="false" outlineLevel="0" collapsed="false">
      <c r="A335" s="5" t="s">
        <v>572</v>
      </c>
      <c r="B335" s="5" t="s">
        <v>12</v>
      </c>
      <c r="C335" s="5" t="s">
        <v>531</v>
      </c>
      <c r="D335" s="5" t="s">
        <v>573</v>
      </c>
      <c r="E335" s="5" t="s">
        <v>46</v>
      </c>
      <c r="F335" s="5" t="n">
        <v>5</v>
      </c>
      <c r="G335" s="5" t="s">
        <v>46</v>
      </c>
      <c r="H335" s="5" t="n">
        <v>5</v>
      </c>
      <c r="I335" s="5"/>
    </row>
    <row r="336" customFormat="false" ht="15" hidden="false" customHeight="false" outlineLevel="0" collapsed="false">
      <c r="A336" s="5" t="s">
        <v>574</v>
      </c>
      <c r="B336" s="5" t="s">
        <v>12</v>
      </c>
      <c r="C336" s="5" t="s">
        <v>531</v>
      </c>
      <c r="D336" s="5" t="s">
        <v>575</v>
      </c>
      <c r="E336" s="5" t="s">
        <v>46</v>
      </c>
      <c r="F336" s="5" t="n">
        <v>5</v>
      </c>
      <c r="G336" s="5" t="s">
        <v>46</v>
      </c>
      <c r="H336" s="5" t="n">
        <v>5</v>
      </c>
      <c r="I336" s="5"/>
    </row>
    <row r="337" customFormat="false" ht="15" hidden="false" customHeight="false" outlineLevel="0" collapsed="false">
      <c r="A337" s="5" t="s">
        <v>576</v>
      </c>
      <c r="B337" s="5" t="s">
        <v>12</v>
      </c>
      <c r="C337" s="5" t="s">
        <v>531</v>
      </c>
      <c r="D337" s="5" t="s">
        <v>577</v>
      </c>
      <c r="E337" s="5" t="s">
        <v>46</v>
      </c>
      <c r="F337" s="5" t="n">
        <v>5</v>
      </c>
      <c r="G337" s="5" t="s">
        <v>46</v>
      </c>
      <c r="H337" s="5" t="n">
        <v>5</v>
      </c>
      <c r="I337" s="5"/>
    </row>
    <row r="338" customFormat="false" ht="15" hidden="false" customHeight="false" outlineLevel="0" collapsed="false">
      <c r="A338" s="5" t="s">
        <v>578</v>
      </c>
      <c r="B338" s="5" t="s">
        <v>12</v>
      </c>
      <c r="C338" s="5" t="s">
        <v>531</v>
      </c>
      <c r="D338" s="5" t="s">
        <v>579</v>
      </c>
      <c r="E338" s="5" t="s">
        <v>46</v>
      </c>
      <c r="F338" s="5" t="n">
        <v>5</v>
      </c>
      <c r="G338" s="5" t="s">
        <v>46</v>
      </c>
      <c r="H338" s="5" t="n">
        <v>5</v>
      </c>
      <c r="I338" s="5"/>
    </row>
    <row r="339" customFormat="false" ht="26.85" hidden="false" customHeight="false" outlineLevel="0" collapsed="false">
      <c r="A339" s="5" t="s">
        <v>580</v>
      </c>
      <c r="B339" s="5" t="s">
        <v>12</v>
      </c>
      <c r="C339" s="5" t="s">
        <v>531</v>
      </c>
      <c r="D339" s="5" t="s">
        <v>581</v>
      </c>
      <c r="E339" s="5" t="s">
        <v>46</v>
      </c>
      <c r="F339" s="5" t="n">
        <v>5</v>
      </c>
      <c r="G339" s="5" t="s">
        <v>46</v>
      </c>
      <c r="H339" s="5" t="n">
        <v>5</v>
      </c>
      <c r="I339" s="5"/>
    </row>
    <row r="340" customFormat="false" ht="15" hidden="false" customHeight="false" outlineLevel="0" collapsed="false">
      <c r="A340" s="5" t="s">
        <v>582</v>
      </c>
      <c r="B340" s="5" t="s">
        <v>12</v>
      </c>
      <c r="C340" s="5" t="s">
        <v>531</v>
      </c>
      <c r="D340" s="5" t="s">
        <v>583</v>
      </c>
      <c r="E340" s="5" t="s">
        <v>46</v>
      </c>
      <c r="F340" s="5" t="n">
        <v>5</v>
      </c>
      <c r="G340" s="5" t="s">
        <v>46</v>
      </c>
      <c r="H340" s="5" t="n">
        <v>5</v>
      </c>
      <c r="I340" s="5"/>
    </row>
    <row r="341" customFormat="false" ht="15" hidden="false" customHeight="false" outlineLevel="0" collapsed="false">
      <c r="A341" s="5" t="s">
        <v>584</v>
      </c>
      <c r="B341" s="5" t="s">
        <v>12</v>
      </c>
      <c r="C341" s="5" t="s">
        <v>531</v>
      </c>
      <c r="D341" s="5" t="s">
        <v>585</v>
      </c>
      <c r="E341" s="5" t="s">
        <v>46</v>
      </c>
      <c r="F341" s="5" t="n">
        <v>5</v>
      </c>
      <c r="G341" s="5" t="s">
        <v>46</v>
      </c>
      <c r="H341" s="5" t="n">
        <v>5</v>
      </c>
      <c r="I341" s="5"/>
    </row>
    <row r="342" customFormat="false" ht="15" hidden="false" customHeight="false" outlineLevel="0" collapsed="false">
      <c r="A342" s="5" t="s">
        <v>586</v>
      </c>
      <c r="B342" s="5" t="s">
        <v>12</v>
      </c>
      <c r="C342" s="5" t="s">
        <v>531</v>
      </c>
      <c r="D342" s="5" t="s">
        <v>587</v>
      </c>
      <c r="E342" s="5" t="s">
        <v>46</v>
      </c>
      <c r="F342" s="5" t="n">
        <v>5</v>
      </c>
      <c r="G342" s="5" t="s">
        <v>46</v>
      </c>
      <c r="H342" s="5" t="n">
        <v>5</v>
      </c>
      <c r="I342" s="5"/>
    </row>
    <row r="343" customFormat="false" ht="15" hidden="false" customHeight="false" outlineLevel="0" collapsed="false">
      <c r="A343" s="5" t="s">
        <v>588</v>
      </c>
      <c r="B343" s="5" t="s">
        <v>12</v>
      </c>
      <c r="C343" s="5" t="s">
        <v>531</v>
      </c>
      <c r="D343" s="5" t="s">
        <v>589</v>
      </c>
      <c r="E343" s="5" t="s">
        <v>46</v>
      </c>
      <c r="F343" s="5" t="n">
        <v>5</v>
      </c>
      <c r="G343" s="5" t="s">
        <v>46</v>
      </c>
      <c r="H343" s="5" t="n">
        <v>5</v>
      </c>
      <c r="I343" s="5"/>
    </row>
    <row r="344" customFormat="false" ht="26.85" hidden="false" customHeight="false" outlineLevel="0" collapsed="false">
      <c r="A344" s="5" t="s">
        <v>590</v>
      </c>
      <c r="B344" s="5" t="s">
        <v>12</v>
      </c>
      <c r="C344" s="5" t="s">
        <v>531</v>
      </c>
      <c r="D344" s="5" t="s">
        <v>591</v>
      </c>
      <c r="E344" s="5" t="s">
        <v>46</v>
      </c>
      <c r="F344" s="5" t="n">
        <v>5</v>
      </c>
      <c r="G344" s="5" t="s">
        <v>46</v>
      </c>
      <c r="H344" s="5" t="n">
        <v>5</v>
      </c>
      <c r="I344" s="5"/>
    </row>
    <row r="345" customFormat="false" ht="15" hidden="false" customHeight="false" outlineLevel="0" collapsed="false">
      <c r="A345" s="5" t="s">
        <v>592</v>
      </c>
      <c r="B345" s="5" t="s">
        <v>12</v>
      </c>
      <c r="C345" s="5" t="s">
        <v>531</v>
      </c>
      <c r="D345" s="5" t="s">
        <v>593</v>
      </c>
      <c r="E345" s="5" t="s">
        <v>46</v>
      </c>
      <c r="F345" s="5" t="n">
        <v>5</v>
      </c>
      <c r="G345" s="5" t="s">
        <v>46</v>
      </c>
      <c r="H345" s="5" t="n">
        <v>5</v>
      </c>
      <c r="I345" s="5"/>
    </row>
    <row r="346" customFormat="false" ht="15" hidden="false" customHeight="false" outlineLevel="0" collapsed="false">
      <c r="A346" s="5" t="s">
        <v>594</v>
      </c>
      <c r="B346" s="5" t="s">
        <v>12</v>
      </c>
      <c r="C346" s="5" t="s">
        <v>531</v>
      </c>
      <c r="D346" s="5" t="s">
        <v>595</v>
      </c>
      <c r="E346" s="5" t="s">
        <v>46</v>
      </c>
      <c r="F346" s="5" t="n">
        <v>5</v>
      </c>
      <c r="G346" s="5" t="s">
        <v>46</v>
      </c>
      <c r="H346" s="5" t="n">
        <v>5</v>
      </c>
      <c r="I346" s="5"/>
    </row>
    <row r="347" customFormat="false" ht="15" hidden="false" customHeight="false" outlineLevel="0" collapsed="false">
      <c r="A347" s="5" t="s">
        <v>596</v>
      </c>
      <c r="B347" s="5" t="s">
        <v>12</v>
      </c>
      <c r="C347" s="5" t="s">
        <v>531</v>
      </c>
      <c r="D347" s="5" t="s">
        <v>597</v>
      </c>
      <c r="E347" s="5" t="s">
        <v>46</v>
      </c>
      <c r="F347" s="5" t="n">
        <v>5</v>
      </c>
      <c r="G347" s="5" t="s">
        <v>46</v>
      </c>
      <c r="H347" s="5" t="n">
        <v>5</v>
      </c>
      <c r="I347" s="5"/>
    </row>
    <row r="348" customFormat="false" ht="26.85" hidden="false" customHeight="false" outlineLevel="0" collapsed="false">
      <c r="A348" s="5" t="s">
        <v>291</v>
      </c>
      <c r="B348" s="5" t="s">
        <v>13</v>
      </c>
      <c r="C348" s="5" t="s">
        <v>598</v>
      </c>
      <c r="D348" s="5" t="s">
        <v>599</v>
      </c>
      <c r="E348" s="5" t="s">
        <v>46</v>
      </c>
      <c r="F348" s="5" t="n">
        <v>5</v>
      </c>
      <c r="G348" s="5" t="s">
        <v>46</v>
      </c>
      <c r="H348" s="5" t="n">
        <v>5</v>
      </c>
      <c r="I348" s="5"/>
    </row>
    <row r="349" customFormat="false" ht="26.85" hidden="false" customHeight="false" outlineLevel="0" collapsed="false">
      <c r="A349" s="5" t="s">
        <v>294</v>
      </c>
      <c r="B349" s="5" t="s">
        <v>13</v>
      </c>
      <c r="C349" s="5" t="s">
        <v>598</v>
      </c>
      <c r="D349" s="5" t="s">
        <v>600</v>
      </c>
      <c r="E349" s="5" t="s">
        <v>46</v>
      </c>
      <c r="F349" s="5" t="n">
        <v>5</v>
      </c>
      <c r="G349" s="5" t="s">
        <v>46</v>
      </c>
      <c r="H349" s="5" t="n">
        <v>5</v>
      </c>
      <c r="I349" s="5"/>
    </row>
    <row r="350" customFormat="false" ht="26.85" hidden="false" customHeight="false" outlineLevel="0" collapsed="false">
      <c r="A350" s="5" t="s">
        <v>296</v>
      </c>
      <c r="B350" s="5" t="s">
        <v>13</v>
      </c>
      <c r="C350" s="5" t="s">
        <v>598</v>
      </c>
      <c r="D350" s="5" t="s">
        <v>601</v>
      </c>
      <c r="E350" s="5" t="s">
        <v>46</v>
      </c>
      <c r="F350" s="5" t="n">
        <v>5</v>
      </c>
      <c r="G350" s="5" t="s">
        <v>46</v>
      </c>
      <c r="H350" s="5" t="n">
        <v>5</v>
      </c>
      <c r="I350" s="5"/>
    </row>
    <row r="351" customFormat="false" ht="26.85" hidden="false" customHeight="false" outlineLevel="0" collapsed="false">
      <c r="A351" s="5" t="s">
        <v>298</v>
      </c>
      <c r="B351" s="5" t="s">
        <v>13</v>
      </c>
      <c r="C351" s="5" t="s">
        <v>598</v>
      </c>
      <c r="D351" s="5" t="s">
        <v>602</v>
      </c>
      <c r="E351" s="5" t="s">
        <v>46</v>
      </c>
      <c r="F351" s="5" t="n">
        <v>5</v>
      </c>
      <c r="G351" s="5" t="s">
        <v>46</v>
      </c>
      <c r="H351" s="5" t="n">
        <v>5</v>
      </c>
      <c r="I351" s="5"/>
    </row>
    <row r="352" customFormat="false" ht="26.85" hidden="false" customHeight="false" outlineLevel="0" collapsed="false">
      <c r="A352" s="5" t="s">
        <v>300</v>
      </c>
      <c r="B352" s="5" t="s">
        <v>13</v>
      </c>
      <c r="C352" s="5" t="s">
        <v>598</v>
      </c>
      <c r="D352" s="5" t="s">
        <v>603</v>
      </c>
      <c r="E352" s="5" t="s">
        <v>46</v>
      </c>
      <c r="F352" s="5" t="n">
        <v>5</v>
      </c>
      <c r="G352" s="5" t="s">
        <v>46</v>
      </c>
      <c r="H352" s="5" t="n">
        <v>5</v>
      </c>
      <c r="I352" s="5"/>
    </row>
    <row r="353" customFormat="false" ht="26.85" hidden="false" customHeight="false" outlineLevel="0" collapsed="false">
      <c r="A353" s="5" t="s">
        <v>302</v>
      </c>
      <c r="B353" s="5" t="s">
        <v>13</v>
      </c>
      <c r="C353" s="5" t="s">
        <v>598</v>
      </c>
      <c r="D353" s="5" t="s">
        <v>604</v>
      </c>
      <c r="E353" s="5" t="s">
        <v>46</v>
      </c>
      <c r="F353" s="5" t="n">
        <v>5</v>
      </c>
      <c r="G353" s="5" t="s">
        <v>46</v>
      </c>
      <c r="H353" s="5" t="n">
        <v>5</v>
      </c>
      <c r="I353" s="5"/>
    </row>
    <row r="354" customFormat="false" ht="26.85" hidden="false" customHeight="false" outlineLevel="0" collapsed="false">
      <c r="A354" s="5" t="s">
        <v>304</v>
      </c>
      <c r="B354" s="5" t="s">
        <v>13</v>
      </c>
      <c r="C354" s="5" t="s">
        <v>598</v>
      </c>
      <c r="D354" s="5" t="s">
        <v>605</v>
      </c>
      <c r="E354" s="5" t="s">
        <v>46</v>
      </c>
      <c r="F354" s="5" t="n">
        <v>5</v>
      </c>
      <c r="G354" s="5" t="s">
        <v>46</v>
      </c>
      <c r="H354" s="5" t="n">
        <v>5</v>
      </c>
      <c r="I354" s="5"/>
    </row>
    <row r="355" customFormat="false" ht="26.85" hidden="false" customHeight="false" outlineLevel="0" collapsed="false">
      <c r="A355" s="5" t="s">
        <v>306</v>
      </c>
      <c r="B355" s="5" t="s">
        <v>13</v>
      </c>
      <c r="C355" s="5" t="s">
        <v>598</v>
      </c>
      <c r="D355" s="5" t="s">
        <v>606</v>
      </c>
      <c r="E355" s="5" t="s">
        <v>46</v>
      </c>
      <c r="F355" s="5" t="n">
        <v>5</v>
      </c>
      <c r="G355" s="5" t="s">
        <v>46</v>
      </c>
      <c r="H355" s="5" t="n">
        <v>5</v>
      </c>
      <c r="I355" s="5"/>
    </row>
    <row r="356" customFormat="false" ht="26.85" hidden="false" customHeight="false" outlineLevel="0" collapsed="false">
      <c r="A356" s="5" t="s">
        <v>308</v>
      </c>
      <c r="B356" s="5" t="s">
        <v>13</v>
      </c>
      <c r="C356" s="5" t="s">
        <v>598</v>
      </c>
      <c r="D356" s="5" t="s">
        <v>607</v>
      </c>
      <c r="E356" s="5" t="s">
        <v>46</v>
      </c>
      <c r="F356" s="5" t="n">
        <v>5</v>
      </c>
      <c r="G356" s="5" t="s">
        <v>46</v>
      </c>
      <c r="H356" s="5" t="n">
        <v>5</v>
      </c>
      <c r="I356" s="5"/>
    </row>
    <row r="357" customFormat="false" ht="26.85" hidden="false" customHeight="false" outlineLevel="0" collapsed="false">
      <c r="A357" s="5" t="s">
        <v>310</v>
      </c>
      <c r="B357" s="5" t="s">
        <v>13</v>
      </c>
      <c r="C357" s="5" t="s">
        <v>598</v>
      </c>
      <c r="D357" s="5" t="s">
        <v>608</v>
      </c>
      <c r="E357" s="5" t="s">
        <v>46</v>
      </c>
      <c r="F357" s="5" t="n">
        <v>5</v>
      </c>
      <c r="G357" s="5" t="s">
        <v>46</v>
      </c>
      <c r="H357" s="5" t="n">
        <v>5</v>
      </c>
      <c r="I357" s="5"/>
    </row>
    <row r="358" customFormat="false" ht="26.85" hidden="false" customHeight="false" outlineLevel="0" collapsed="false">
      <c r="A358" s="5" t="s">
        <v>312</v>
      </c>
      <c r="B358" s="5" t="s">
        <v>13</v>
      </c>
      <c r="C358" s="5" t="s">
        <v>598</v>
      </c>
      <c r="D358" s="5" t="s">
        <v>609</v>
      </c>
      <c r="E358" s="5" t="s">
        <v>46</v>
      </c>
      <c r="F358" s="5" t="n">
        <v>5</v>
      </c>
      <c r="G358" s="5" t="s">
        <v>46</v>
      </c>
      <c r="H358" s="5" t="n">
        <v>5</v>
      </c>
      <c r="I358" s="5"/>
    </row>
    <row r="359" customFormat="false" ht="26.85" hidden="false" customHeight="false" outlineLevel="0" collapsed="false">
      <c r="A359" s="5" t="s">
        <v>314</v>
      </c>
      <c r="B359" s="5" t="s">
        <v>13</v>
      </c>
      <c r="C359" s="5" t="s">
        <v>598</v>
      </c>
      <c r="D359" s="5" t="s">
        <v>610</v>
      </c>
      <c r="E359" s="5" t="s">
        <v>46</v>
      </c>
      <c r="F359" s="5" t="n">
        <v>5</v>
      </c>
      <c r="G359" s="5" t="s">
        <v>46</v>
      </c>
      <c r="H359" s="5" t="n">
        <v>5</v>
      </c>
      <c r="I359" s="5"/>
    </row>
    <row r="360" customFormat="false" ht="52.2" hidden="false" customHeight="false" outlineLevel="0" collapsed="false">
      <c r="A360" s="5" t="s">
        <v>611</v>
      </c>
      <c r="B360" s="5" t="s">
        <v>14</v>
      </c>
      <c r="C360" s="5" t="s">
        <v>612</v>
      </c>
      <c r="D360" s="5" t="s">
        <v>613</v>
      </c>
      <c r="E360" s="5" t="s">
        <v>46</v>
      </c>
      <c r="F360" s="5" t="n">
        <v>5</v>
      </c>
      <c r="G360" s="5" t="s">
        <v>46</v>
      </c>
      <c r="H360" s="5" t="n">
        <v>5</v>
      </c>
      <c r="I360" s="5"/>
    </row>
    <row r="361" customFormat="false" ht="52.2" hidden="false" customHeight="false" outlineLevel="0" collapsed="false">
      <c r="A361" s="5" t="s">
        <v>614</v>
      </c>
      <c r="B361" s="5" t="s">
        <v>14</v>
      </c>
      <c r="C361" s="5" t="s">
        <v>612</v>
      </c>
      <c r="D361" s="5" t="s">
        <v>615</v>
      </c>
      <c r="E361" s="5" t="s">
        <v>46</v>
      </c>
      <c r="F361" s="5" t="n">
        <v>5</v>
      </c>
      <c r="G361" s="5" t="s">
        <v>46</v>
      </c>
      <c r="H361" s="5" t="n">
        <v>5</v>
      </c>
      <c r="I361" s="5"/>
    </row>
    <row r="362" customFormat="false" ht="52.2" hidden="false" customHeight="false" outlineLevel="0" collapsed="false">
      <c r="A362" s="5" t="s">
        <v>616</v>
      </c>
      <c r="B362" s="5" t="s">
        <v>14</v>
      </c>
      <c r="C362" s="5" t="s">
        <v>612</v>
      </c>
      <c r="D362" s="5" t="s">
        <v>617</v>
      </c>
      <c r="E362" s="5" t="s">
        <v>46</v>
      </c>
      <c r="F362" s="5" t="n">
        <v>5</v>
      </c>
      <c r="G362" s="5" t="s">
        <v>46</v>
      </c>
      <c r="H362" s="5" t="n">
        <v>5</v>
      </c>
      <c r="I362" s="5"/>
    </row>
    <row r="363" customFormat="false" ht="52.2" hidden="false" customHeight="false" outlineLevel="0" collapsed="false">
      <c r="A363" s="5" t="s">
        <v>618</v>
      </c>
      <c r="B363" s="5" t="s">
        <v>14</v>
      </c>
      <c r="C363" s="5" t="s">
        <v>612</v>
      </c>
      <c r="D363" s="5" t="s">
        <v>619</v>
      </c>
      <c r="E363" s="5" t="s">
        <v>46</v>
      </c>
      <c r="F363" s="5" t="n">
        <v>5</v>
      </c>
      <c r="G363" s="5" t="s">
        <v>46</v>
      </c>
      <c r="H363" s="5" t="n">
        <v>5</v>
      </c>
      <c r="I363" s="5"/>
    </row>
    <row r="364" customFormat="false" ht="52.2" hidden="false" customHeight="false" outlineLevel="0" collapsed="false">
      <c r="A364" s="5" t="s">
        <v>620</v>
      </c>
      <c r="B364" s="5" t="s">
        <v>14</v>
      </c>
      <c r="C364" s="5" t="s">
        <v>612</v>
      </c>
      <c r="D364" s="5" t="s">
        <v>621</v>
      </c>
      <c r="E364" s="5" t="s">
        <v>46</v>
      </c>
      <c r="F364" s="5" t="n">
        <v>5</v>
      </c>
      <c r="G364" s="5" t="s">
        <v>46</v>
      </c>
      <c r="H364" s="5" t="n">
        <v>5</v>
      </c>
      <c r="I364" s="5"/>
    </row>
    <row r="365" customFormat="false" ht="52.2" hidden="false" customHeight="false" outlineLevel="0" collapsed="false">
      <c r="A365" s="5" t="s">
        <v>622</v>
      </c>
      <c r="B365" s="5" t="s">
        <v>14</v>
      </c>
      <c r="C365" s="5" t="s">
        <v>612</v>
      </c>
      <c r="D365" s="5" t="s">
        <v>623</v>
      </c>
      <c r="E365" s="5" t="s">
        <v>46</v>
      </c>
      <c r="F365" s="5" t="n">
        <v>5</v>
      </c>
      <c r="G365" s="5" t="s">
        <v>46</v>
      </c>
      <c r="H365" s="5" t="n">
        <v>5</v>
      </c>
      <c r="I365" s="5"/>
    </row>
    <row r="366" customFormat="false" ht="52.2" hidden="false" customHeight="false" outlineLevel="0" collapsed="false">
      <c r="A366" s="5" t="s">
        <v>624</v>
      </c>
      <c r="B366" s="5" t="s">
        <v>14</v>
      </c>
      <c r="C366" s="5" t="s">
        <v>612</v>
      </c>
      <c r="D366" s="5" t="s">
        <v>625</v>
      </c>
      <c r="E366" s="5" t="s">
        <v>46</v>
      </c>
      <c r="F366" s="5" t="n">
        <v>5</v>
      </c>
      <c r="G366" s="5" t="s">
        <v>46</v>
      </c>
      <c r="H366" s="5" t="n">
        <v>5</v>
      </c>
      <c r="I366" s="5"/>
    </row>
    <row r="367" customFormat="false" ht="52.2" hidden="false" customHeight="false" outlineLevel="0" collapsed="false">
      <c r="A367" s="5" t="s">
        <v>626</v>
      </c>
      <c r="B367" s="5" t="s">
        <v>14</v>
      </c>
      <c r="C367" s="5" t="s">
        <v>612</v>
      </c>
      <c r="D367" s="5" t="s">
        <v>627</v>
      </c>
      <c r="E367" s="5" t="s">
        <v>46</v>
      </c>
      <c r="F367" s="5" t="n">
        <v>5</v>
      </c>
      <c r="G367" s="5" t="s">
        <v>46</v>
      </c>
      <c r="H367" s="5" t="n">
        <v>5</v>
      </c>
      <c r="I367" s="5"/>
    </row>
    <row r="368" customFormat="false" ht="52.2" hidden="false" customHeight="false" outlineLevel="0" collapsed="false">
      <c r="A368" s="5" t="s">
        <v>628</v>
      </c>
      <c r="B368" s="5" t="s">
        <v>14</v>
      </c>
      <c r="C368" s="5" t="s">
        <v>612</v>
      </c>
      <c r="D368" s="5" t="s">
        <v>629</v>
      </c>
      <c r="E368" s="5" t="s">
        <v>46</v>
      </c>
      <c r="F368" s="5" t="n">
        <v>5</v>
      </c>
      <c r="G368" s="5" t="s">
        <v>46</v>
      </c>
      <c r="H368" s="5" t="n">
        <v>5</v>
      </c>
      <c r="I368" s="5"/>
    </row>
    <row r="369" customFormat="false" ht="52.2" hidden="false" customHeight="false" outlineLevel="0" collapsed="false">
      <c r="A369" s="5" t="s">
        <v>630</v>
      </c>
      <c r="B369" s="5" t="s">
        <v>14</v>
      </c>
      <c r="C369" s="5" t="s">
        <v>612</v>
      </c>
      <c r="D369" s="5" t="s">
        <v>631</v>
      </c>
      <c r="E369" s="5" t="s">
        <v>46</v>
      </c>
      <c r="F369" s="5" t="n">
        <v>5</v>
      </c>
      <c r="G369" s="5" t="s">
        <v>46</v>
      </c>
      <c r="H369" s="5" t="n">
        <v>5</v>
      </c>
      <c r="I369" s="5"/>
    </row>
    <row r="370" customFormat="false" ht="52.2" hidden="false" customHeight="false" outlineLevel="0" collapsed="false">
      <c r="A370" s="5" t="s">
        <v>632</v>
      </c>
      <c r="B370" s="5" t="s">
        <v>14</v>
      </c>
      <c r="C370" s="5" t="s">
        <v>612</v>
      </c>
      <c r="D370" s="5" t="s">
        <v>633</v>
      </c>
      <c r="E370" s="5" t="s">
        <v>46</v>
      </c>
      <c r="F370" s="5" t="n">
        <v>5</v>
      </c>
      <c r="G370" s="5" t="s">
        <v>46</v>
      </c>
      <c r="H370" s="5" t="n">
        <v>5</v>
      </c>
      <c r="I370" s="5"/>
    </row>
    <row r="371" customFormat="false" ht="52.2" hidden="false" customHeight="false" outlineLevel="0" collapsed="false">
      <c r="A371" s="5" t="s">
        <v>634</v>
      </c>
      <c r="B371" s="5" t="s">
        <v>14</v>
      </c>
      <c r="C371" s="5" t="s">
        <v>612</v>
      </c>
      <c r="D371" s="5" t="s">
        <v>635</v>
      </c>
      <c r="E371" s="5" t="s">
        <v>46</v>
      </c>
      <c r="F371" s="5" t="n">
        <v>5</v>
      </c>
      <c r="G371" s="5" t="s">
        <v>46</v>
      </c>
      <c r="H371" s="5" t="n">
        <v>5</v>
      </c>
      <c r="I371" s="5"/>
    </row>
    <row r="372" customFormat="false" ht="52.2" hidden="false" customHeight="false" outlineLevel="0" collapsed="false">
      <c r="A372" s="5" t="s">
        <v>636</v>
      </c>
      <c r="B372" s="5" t="s">
        <v>14</v>
      </c>
      <c r="C372" s="5" t="s">
        <v>612</v>
      </c>
      <c r="D372" s="5" t="s">
        <v>637</v>
      </c>
      <c r="E372" s="5" t="s">
        <v>46</v>
      </c>
      <c r="F372" s="5" t="n">
        <v>5</v>
      </c>
      <c r="G372" s="5" t="s">
        <v>46</v>
      </c>
      <c r="H372" s="5" t="n">
        <v>5</v>
      </c>
      <c r="I372" s="5"/>
    </row>
    <row r="373" customFormat="false" ht="52.2" hidden="false" customHeight="false" outlineLevel="0" collapsed="false">
      <c r="A373" s="5" t="s">
        <v>638</v>
      </c>
      <c r="B373" s="5" t="s">
        <v>14</v>
      </c>
      <c r="C373" s="5" t="s">
        <v>612</v>
      </c>
      <c r="D373" s="5" t="s">
        <v>639</v>
      </c>
      <c r="E373" s="5" t="s">
        <v>46</v>
      </c>
      <c r="F373" s="5" t="n">
        <v>5</v>
      </c>
      <c r="G373" s="5" t="s">
        <v>46</v>
      </c>
      <c r="H373" s="5" t="n">
        <v>5</v>
      </c>
      <c r="I373" s="5"/>
    </row>
    <row r="374" customFormat="false" ht="52.2" hidden="false" customHeight="false" outlineLevel="0" collapsed="false">
      <c r="A374" s="5" t="s">
        <v>640</v>
      </c>
      <c r="B374" s="5" t="s">
        <v>14</v>
      </c>
      <c r="C374" s="5" t="s">
        <v>612</v>
      </c>
      <c r="D374" s="5" t="s">
        <v>641</v>
      </c>
      <c r="E374" s="5" t="s">
        <v>46</v>
      </c>
      <c r="F374" s="5" t="n">
        <v>5</v>
      </c>
      <c r="G374" s="5" t="s">
        <v>46</v>
      </c>
      <c r="H374" s="5" t="n">
        <v>5</v>
      </c>
      <c r="I374" s="5"/>
    </row>
    <row r="375" customFormat="false" ht="52.2" hidden="false" customHeight="false" outlineLevel="0" collapsed="false">
      <c r="A375" s="5" t="s">
        <v>642</v>
      </c>
      <c r="B375" s="5" t="s">
        <v>14</v>
      </c>
      <c r="C375" s="5" t="s">
        <v>612</v>
      </c>
      <c r="D375" s="5" t="s">
        <v>643</v>
      </c>
      <c r="E375" s="5" t="s">
        <v>46</v>
      </c>
      <c r="F375" s="5" t="n">
        <v>5</v>
      </c>
      <c r="G375" s="5" t="s">
        <v>46</v>
      </c>
      <c r="H375" s="5" t="n">
        <v>5</v>
      </c>
      <c r="I375" s="5"/>
    </row>
    <row r="376" customFormat="false" ht="52.2" hidden="false" customHeight="false" outlineLevel="0" collapsed="false">
      <c r="A376" s="5" t="s">
        <v>644</v>
      </c>
      <c r="B376" s="5" t="s">
        <v>14</v>
      </c>
      <c r="C376" s="5" t="s">
        <v>612</v>
      </c>
      <c r="D376" s="5" t="s">
        <v>645</v>
      </c>
      <c r="E376" s="5" t="s">
        <v>46</v>
      </c>
      <c r="F376" s="5" t="n">
        <v>5</v>
      </c>
      <c r="G376" s="5" t="s">
        <v>46</v>
      </c>
      <c r="H376" s="5" t="n">
        <v>5</v>
      </c>
      <c r="I376" s="5"/>
    </row>
    <row r="377" customFormat="false" ht="52.2" hidden="false" customHeight="false" outlineLevel="0" collapsed="false">
      <c r="A377" s="5" t="s">
        <v>646</v>
      </c>
      <c r="B377" s="5" t="s">
        <v>14</v>
      </c>
      <c r="C377" s="5" t="s">
        <v>612</v>
      </c>
      <c r="D377" s="5" t="s">
        <v>647</v>
      </c>
      <c r="E377" s="5" t="s">
        <v>46</v>
      </c>
      <c r="F377" s="5" t="n">
        <v>5</v>
      </c>
      <c r="G377" s="5" t="s">
        <v>46</v>
      </c>
      <c r="H377" s="5" t="n">
        <v>5</v>
      </c>
      <c r="I377" s="5"/>
    </row>
    <row r="378" customFormat="false" ht="52.2" hidden="false" customHeight="false" outlineLevel="0" collapsed="false">
      <c r="A378" s="5" t="s">
        <v>648</v>
      </c>
      <c r="B378" s="5" t="s">
        <v>14</v>
      </c>
      <c r="C378" s="5" t="s">
        <v>612</v>
      </c>
      <c r="D378" s="5" t="s">
        <v>649</v>
      </c>
      <c r="E378" s="5" t="s">
        <v>46</v>
      </c>
      <c r="F378" s="5" t="n">
        <v>5</v>
      </c>
      <c r="G378" s="5" t="s">
        <v>46</v>
      </c>
      <c r="H378" s="5" t="n">
        <v>5</v>
      </c>
      <c r="I378" s="5"/>
    </row>
    <row r="379" customFormat="false" ht="52.2" hidden="false" customHeight="false" outlineLevel="0" collapsed="false">
      <c r="A379" s="5" t="s">
        <v>650</v>
      </c>
      <c r="B379" s="5" t="s">
        <v>14</v>
      </c>
      <c r="C379" s="5" t="s">
        <v>612</v>
      </c>
      <c r="D379" s="5" t="s">
        <v>651</v>
      </c>
      <c r="E379" s="5" t="s">
        <v>46</v>
      </c>
      <c r="F379" s="5" t="n">
        <v>5</v>
      </c>
      <c r="G379" s="5" t="s">
        <v>46</v>
      </c>
      <c r="H379" s="5" t="n">
        <v>5</v>
      </c>
      <c r="I379" s="5"/>
    </row>
    <row r="380" customFormat="false" ht="52.2" hidden="false" customHeight="false" outlineLevel="0" collapsed="false">
      <c r="A380" s="5" t="s">
        <v>652</v>
      </c>
      <c r="B380" s="5" t="s">
        <v>14</v>
      </c>
      <c r="C380" s="5" t="s">
        <v>612</v>
      </c>
      <c r="D380" s="5" t="s">
        <v>653</v>
      </c>
      <c r="E380" s="5" t="s">
        <v>46</v>
      </c>
      <c r="F380" s="5" t="n">
        <v>5</v>
      </c>
      <c r="G380" s="5" t="s">
        <v>46</v>
      </c>
      <c r="H380" s="5" t="n">
        <v>5</v>
      </c>
      <c r="I380" s="5"/>
    </row>
    <row r="381" customFormat="false" ht="52.2" hidden="false" customHeight="false" outlineLevel="0" collapsed="false">
      <c r="A381" s="5" t="s">
        <v>654</v>
      </c>
      <c r="B381" s="5" t="s">
        <v>14</v>
      </c>
      <c r="C381" s="5" t="s">
        <v>612</v>
      </c>
      <c r="D381" s="5" t="s">
        <v>655</v>
      </c>
      <c r="E381" s="5" t="s">
        <v>46</v>
      </c>
      <c r="F381" s="5" t="n">
        <v>5</v>
      </c>
      <c r="G381" s="5" t="s">
        <v>46</v>
      </c>
      <c r="H381" s="5" t="n">
        <v>5</v>
      </c>
      <c r="I381" s="5"/>
    </row>
    <row r="382" customFormat="false" ht="52.2" hidden="false" customHeight="false" outlineLevel="0" collapsed="false">
      <c r="A382" s="5" t="s">
        <v>656</v>
      </c>
      <c r="B382" s="5" t="s">
        <v>14</v>
      </c>
      <c r="C382" s="5" t="s">
        <v>612</v>
      </c>
      <c r="D382" s="5" t="s">
        <v>657</v>
      </c>
      <c r="E382" s="5" t="s">
        <v>46</v>
      </c>
      <c r="F382" s="5" t="n">
        <v>5</v>
      </c>
      <c r="G382" s="5" t="s">
        <v>46</v>
      </c>
      <c r="H382" s="5" t="n">
        <v>5</v>
      </c>
      <c r="I382" s="5"/>
    </row>
    <row r="383" customFormat="false" ht="52.2" hidden="false" customHeight="false" outlineLevel="0" collapsed="false">
      <c r="A383" s="5" t="s">
        <v>658</v>
      </c>
      <c r="B383" s="5" t="s">
        <v>14</v>
      </c>
      <c r="C383" s="5" t="s">
        <v>612</v>
      </c>
      <c r="D383" s="5" t="s">
        <v>659</v>
      </c>
      <c r="E383" s="5" t="s">
        <v>46</v>
      </c>
      <c r="F383" s="5" t="n">
        <v>5</v>
      </c>
      <c r="G383" s="5" t="s">
        <v>46</v>
      </c>
      <c r="H383" s="5" t="n">
        <v>5</v>
      </c>
      <c r="I383" s="5"/>
    </row>
    <row r="384" customFormat="false" ht="52.2" hidden="false" customHeight="false" outlineLevel="0" collapsed="false">
      <c r="A384" s="5" t="s">
        <v>660</v>
      </c>
      <c r="B384" s="5" t="s">
        <v>14</v>
      </c>
      <c r="C384" s="5" t="s">
        <v>612</v>
      </c>
      <c r="D384" s="5" t="s">
        <v>661</v>
      </c>
      <c r="E384" s="5" t="s">
        <v>46</v>
      </c>
      <c r="F384" s="5" t="n">
        <v>5</v>
      </c>
      <c r="G384" s="5" t="s">
        <v>46</v>
      </c>
      <c r="H384" s="5" t="n">
        <v>5</v>
      </c>
      <c r="I384" s="5"/>
    </row>
    <row r="385" customFormat="false" ht="52.2" hidden="false" customHeight="false" outlineLevel="0" collapsed="false">
      <c r="A385" s="5" t="s">
        <v>662</v>
      </c>
      <c r="B385" s="5" t="s">
        <v>14</v>
      </c>
      <c r="C385" s="5" t="s">
        <v>612</v>
      </c>
      <c r="D385" s="5" t="s">
        <v>663</v>
      </c>
      <c r="E385" s="5" t="s">
        <v>46</v>
      </c>
      <c r="F385" s="5" t="n">
        <v>5</v>
      </c>
      <c r="G385" s="5" t="s">
        <v>46</v>
      </c>
      <c r="H385" s="5" t="n">
        <v>5</v>
      </c>
      <c r="I385" s="5"/>
    </row>
    <row r="386" customFormat="false" ht="52.2" hidden="false" customHeight="false" outlineLevel="0" collapsed="false">
      <c r="A386" s="5" t="s">
        <v>664</v>
      </c>
      <c r="B386" s="5" t="s">
        <v>14</v>
      </c>
      <c r="C386" s="5" t="s">
        <v>612</v>
      </c>
      <c r="D386" s="5" t="s">
        <v>665</v>
      </c>
      <c r="E386" s="5" t="s">
        <v>46</v>
      </c>
      <c r="F386" s="5" t="n">
        <v>5</v>
      </c>
      <c r="G386" s="5" t="s">
        <v>46</v>
      </c>
      <c r="H386" s="5" t="n">
        <v>5</v>
      </c>
      <c r="I386" s="5"/>
    </row>
    <row r="387" customFormat="false" ht="52.2" hidden="false" customHeight="false" outlineLevel="0" collapsed="false">
      <c r="A387" s="5" t="s">
        <v>666</v>
      </c>
      <c r="B387" s="5" t="s">
        <v>14</v>
      </c>
      <c r="C387" s="5" t="s">
        <v>612</v>
      </c>
      <c r="D387" s="5" t="s">
        <v>667</v>
      </c>
      <c r="E387" s="5" t="s">
        <v>46</v>
      </c>
      <c r="F387" s="5" t="n">
        <v>5</v>
      </c>
      <c r="G387" s="5" t="s">
        <v>46</v>
      </c>
      <c r="H387" s="5" t="n">
        <v>5</v>
      </c>
      <c r="I387" s="5"/>
    </row>
    <row r="388" customFormat="false" ht="52.2" hidden="false" customHeight="false" outlineLevel="0" collapsed="false">
      <c r="A388" s="5" t="s">
        <v>668</v>
      </c>
      <c r="B388" s="5" t="s">
        <v>14</v>
      </c>
      <c r="C388" s="5" t="s">
        <v>612</v>
      </c>
      <c r="D388" s="5" t="s">
        <v>669</v>
      </c>
      <c r="E388" s="5" t="s">
        <v>46</v>
      </c>
      <c r="F388" s="5" t="n">
        <v>5</v>
      </c>
      <c r="G388" s="5" t="s">
        <v>46</v>
      </c>
      <c r="H388" s="5" t="n">
        <v>5</v>
      </c>
      <c r="I388" s="5"/>
    </row>
    <row r="389" customFormat="false" ht="52.2" hidden="false" customHeight="false" outlineLevel="0" collapsed="false">
      <c r="A389" s="5" t="s">
        <v>670</v>
      </c>
      <c r="B389" s="5" t="s">
        <v>14</v>
      </c>
      <c r="C389" s="5" t="s">
        <v>612</v>
      </c>
      <c r="D389" s="5" t="s">
        <v>671</v>
      </c>
      <c r="E389" s="5" t="s">
        <v>46</v>
      </c>
      <c r="F389" s="5" t="n">
        <v>5</v>
      </c>
      <c r="G389" s="5" t="s">
        <v>46</v>
      </c>
      <c r="H389" s="5" t="n">
        <v>5</v>
      </c>
      <c r="I389" s="5"/>
    </row>
    <row r="390" customFormat="false" ht="52.2" hidden="false" customHeight="false" outlineLevel="0" collapsed="false">
      <c r="A390" s="5" t="s">
        <v>672</v>
      </c>
      <c r="B390" s="5" t="s">
        <v>14</v>
      </c>
      <c r="C390" s="5" t="s">
        <v>612</v>
      </c>
      <c r="D390" s="5" t="s">
        <v>673</v>
      </c>
      <c r="E390" s="5" t="s">
        <v>46</v>
      </c>
      <c r="F390" s="5" t="n">
        <v>5</v>
      </c>
      <c r="G390" s="5" t="s">
        <v>46</v>
      </c>
      <c r="H390" s="5" t="n">
        <v>5</v>
      </c>
      <c r="I390" s="5"/>
    </row>
    <row r="391" customFormat="false" ht="52.2" hidden="false" customHeight="false" outlineLevel="0" collapsed="false">
      <c r="A391" s="5" t="s">
        <v>674</v>
      </c>
      <c r="B391" s="5" t="s">
        <v>14</v>
      </c>
      <c r="C391" s="5" t="s">
        <v>612</v>
      </c>
      <c r="D391" s="5" t="s">
        <v>675</v>
      </c>
      <c r="E391" s="5" t="s">
        <v>46</v>
      </c>
      <c r="F391" s="5" t="n">
        <v>5</v>
      </c>
      <c r="G391" s="5" t="s">
        <v>46</v>
      </c>
      <c r="H391" s="5" t="n">
        <v>5</v>
      </c>
      <c r="I391" s="5"/>
    </row>
    <row r="392" customFormat="false" ht="52.2" hidden="false" customHeight="false" outlineLevel="0" collapsed="false">
      <c r="A392" s="5" t="s">
        <v>676</v>
      </c>
      <c r="B392" s="5" t="s">
        <v>14</v>
      </c>
      <c r="C392" s="5" t="s">
        <v>612</v>
      </c>
      <c r="D392" s="5" t="s">
        <v>677</v>
      </c>
      <c r="E392" s="5" t="s">
        <v>46</v>
      </c>
      <c r="F392" s="5" t="n">
        <v>5</v>
      </c>
      <c r="G392" s="5" t="s">
        <v>46</v>
      </c>
      <c r="H392" s="5" t="n">
        <v>5</v>
      </c>
      <c r="I392" s="5"/>
    </row>
    <row r="393" customFormat="false" ht="52.2" hidden="false" customHeight="false" outlineLevel="0" collapsed="false">
      <c r="A393" s="5" t="s">
        <v>678</v>
      </c>
      <c r="B393" s="5" t="s">
        <v>14</v>
      </c>
      <c r="C393" s="5" t="s">
        <v>612</v>
      </c>
      <c r="D393" s="5" t="s">
        <v>679</v>
      </c>
      <c r="E393" s="5" t="s">
        <v>46</v>
      </c>
      <c r="F393" s="5" t="n">
        <v>5</v>
      </c>
      <c r="G393" s="5" t="s">
        <v>46</v>
      </c>
      <c r="H393" s="5" t="n">
        <v>5</v>
      </c>
      <c r="I393" s="5"/>
    </row>
    <row r="394" customFormat="false" ht="52.2" hidden="false" customHeight="false" outlineLevel="0" collapsed="false">
      <c r="A394" s="5" t="s">
        <v>680</v>
      </c>
      <c r="B394" s="5" t="s">
        <v>14</v>
      </c>
      <c r="C394" s="5" t="s">
        <v>612</v>
      </c>
      <c r="D394" s="5" t="s">
        <v>681</v>
      </c>
      <c r="E394" s="5" t="s">
        <v>46</v>
      </c>
      <c r="F394" s="5" t="n">
        <v>5</v>
      </c>
      <c r="G394" s="5" t="s">
        <v>46</v>
      </c>
      <c r="H394" s="5" t="n">
        <v>5</v>
      </c>
      <c r="I394" s="5"/>
    </row>
    <row r="395" customFormat="false" ht="52.2" hidden="false" customHeight="false" outlineLevel="0" collapsed="false">
      <c r="A395" s="5" t="s">
        <v>682</v>
      </c>
      <c r="B395" s="5" t="s">
        <v>14</v>
      </c>
      <c r="C395" s="5" t="s">
        <v>612</v>
      </c>
      <c r="D395" s="5" t="s">
        <v>683</v>
      </c>
      <c r="E395" s="5" t="s">
        <v>46</v>
      </c>
      <c r="F395" s="5" t="n">
        <v>5</v>
      </c>
      <c r="G395" s="5" t="s">
        <v>46</v>
      </c>
      <c r="H395" s="5" t="n">
        <v>5</v>
      </c>
      <c r="I395" s="5"/>
    </row>
    <row r="396" customFormat="false" ht="52.2" hidden="false" customHeight="false" outlineLevel="0" collapsed="false">
      <c r="A396" s="5" t="s">
        <v>684</v>
      </c>
      <c r="B396" s="5" t="s">
        <v>14</v>
      </c>
      <c r="C396" s="5" t="s">
        <v>612</v>
      </c>
      <c r="D396" s="5" t="s">
        <v>685</v>
      </c>
      <c r="E396" s="5" t="s">
        <v>46</v>
      </c>
      <c r="F396" s="5" t="n">
        <v>5</v>
      </c>
      <c r="G396" s="5" t="s">
        <v>46</v>
      </c>
      <c r="H396" s="5" t="n">
        <v>5</v>
      </c>
      <c r="I396" s="5"/>
    </row>
    <row r="397" customFormat="false" ht="52.2" hidden="false" customHeight="false" outlineLevel="0" collapsed="false">
      <c r="A397" s="5" t="s">
        <v>686</v>
      </c>
      <c r="B397" s="5" t="s">
        <v>14</v>
      </c>
      <c r="C397" s="5" t="s">
        <v>612</v>
      </c>
      <c r="D397" s="5" t="s">
        <v>687</v>
      </c>
      <c r="E397" s="5" t="s">
        <v>46</v>
      </c>
      <c r="F397" s="5" t="n">
        <v>5</v>
      </c>
      <c r="G397" s="5" t="s">
        <v>46</v>
      </c>
      <c r="H397" s="5" t="n">
        <v>5</v>
      </c>
      <c r="I397" s="5"/>
    </row>
    <row r="398" customFormat="false" ht="52.2" hidden="false" customHeight="false" outlineLevel="0" collapsed="false">
      <c r="A398" s="5" t="s">
        <v>688</v>
      </c>
      <c r="B398" s="5" t="s">
        <v>14</v>
      </c>
      <c r="C398" s="5" t="s">
        <v>612</v>
      </c>
      <c r="D398" s="5" t="s">
        <v>689</v>
      </c>
      <c r="E398" s="5" t="s">
        <v>46</v>
      </c>
      <c r="F398" s="5" t="n">
        <v>5</v>
      </c>
      <c r="G398" s="5" t="s">
        <v>46</v>
      </c>
      <c r="H398" s="5" t="n">
        <v>5</v>
      </c>
      <c r="I398" s="5"/>
    </row>
    <row r="399" customFormat="false" ht="52.2" hidden="false" customHeight="false" outlineLevel="0" collapsed="false">
      <c r="A399" s="5" t="s">
        <v>690</v>
      </c>
      <c r="B399" s="5" t="s">
        <v>14</v>
      </c>
      <c r="C399" s="5" t="s">
        <v>612</v>
      </c>
      <c r="D399" s="5" t="s">
        <v>691</v>
      </c>
      <c r="E399" s="5" t="s">
        <v>46</v>
      </c>
      <c r="F399" s="5" t="n">
        <v>5</v>
      </c>
      <c r="G399" s="5" t="s">
        <v>46</v>
      </c>
      <c r="H399" s="5" t="n">
        <v>5</v>
      </c>
      <c r="I399" s="5"/>
    </row>
    <row r="400" customFormat="false" ht="52.2" hidden="false" customHeight="false" outlineLevel="0" collapsed="false">
      <c r="A400" s="5" t="s">
        <v>692</v>
      </c>
      <c r="B400" s="5" t="s">
        <v>14</v>
      </c>
      <c r="C400" s="5" t="s">
        <v>612</v>
      </c>
      <c r="D400" s="5" t="s">
        <v>693</v>
      </c>
      <c r="E400" s="5" t="s">
        <v>46</v>
      </c>
      <c r="F400" s="5" t="n">
        <v>5</v>
      </c>
      <c r="G400" s="5" t="s">
        <v>46</v>
      </c>
      <c r="H400" s="5" t="n">
        <v>5</v>
      </c>
      <c r="I400" s="5"/>
    </row>
    <row r="401" customFormat="false" ht="52.2" hidden="false" customHeight="false" outlineLevel="0" collapsed="false">
      <c r="A401" s="5" t="s">
        <v>694</v>
      </c>
      <c r="B401" s="5" t="s">
        <v>14</v>
      </c>
      <c r="C401" s="5" t="s">
        <v>612</v>
      </c>
      <c r="D401" s="5" t="s">
        <v>695</v>
      </c>
      <c r="E401" s="5" t="s">
        <v>46</v>
      </c>
      <c r="F401" s="5" t="n">
        <v>5</v>
      </c>
      <c r="G401" s="5" t="s">
        <v>46</v>
      </c>
      <c r="H401" s="5" t="n">
        <v>5</v>
      </c>
      <c r="I401" s="5"/>
    </row>
    <row r="402" customFormat="false" ht="52.2" hidden="false" customHeight="false" outlineLevel="0" collapsed="false">
      <c r="A402" s="5" t="s">
        <v>696</v>
      </c>
      <c r="B402" s="5" t="s">
        <v>14</v>
      </c>
      <c r="C402" s="5" t="s">
        <v>612</v>
      </c>
      <c r="D402" s="5" t="s">
        <v>697</v>
      </c>
      <c r="E402" s="5" t="s">
        <v>46</v>
      </c>
      <c r="F402" s="5" t="n">
        <v>5</v>
      </c>
      <c r="G402" s="5" t="s">
        <v>46</v>
      </c>
      <c r="H402" s="5" t="n">
        <v>5</v>
      </c>
      <c r="I402" s="5"/>
    </row>
    <row r="403" customFormat="false" ht="52.2" hidden="false" customHeight="false" outlineLevel="0" collapsed="false">
      <c r="A403" s="5" t="s">
        <v>698</v>
      </c>
      <c r="B403" s="5" t="s">
        <v>14</v>
      </c>
      <c r="C403" s="5" t="s">
        <v>612</v>
      </c>
      <c r="D403" s="5" t="s">
        <v>699</v>
      </c>
      <c r="E403" s="5" t="s">
        <v>46</v>
      </c>
      <c r="F403" s="5" t="n">
        <v>5</v>
      </c>
      <c r="G403" s="5" t="s">
        <v>46</v>
      </c>
      <c r="H403" s="5" t="n">
        <v>5</v>
      </c>
      <c r="I403" s="5"/>
    </row>
    <row r="404" customFormat="false" ht="52.2" hidden="false" customHeight="false" outlineLevel="0" collapsed="false">
      <c r="A404" s="5" t="s">
        <v>700</v>
      </c>
      <c r="B404" s="5" t="s">
        <v>14</v>
      </c>
      <c r="C404" s="5" t="s">
        <v>612</v>
      </c>
      <c r="D404" s="5" t="s">
        <v>701</v>
      </c>
      <c r="E404" s="5" t="s">
        <v>46</v>
      </c>
      <c r="F404" s="5" t="n">
        <v>5</v>
      </c>
      <c r="G404" s="5" t="s">
        <v>46</v>
      </c>
      <c r="H404" s="5" t="n">
        <v>5</v>
      </c>
      <c r="I404" s="5"/>
    </row>
    <row r="405" customFormat="false" ht="52.2" hidden="false" customHeight="false" outlineLevel="0" collapsed="false">
      <c r="A405" s="5" t="s">
        <v>702</v>
      </c>
      <c r="B405" s="5" t="s">
        <v>14</v>
      </c>
      <c r="C405" s="5" t="s">
        <v>612</v>
      </c>
      <c r="D405" s="5" t="s">
        <v>703</v>
      </c>
      <c r="E405" s="5" t="s">
        <v>46</v>
      </c>
      <c r="F405" s="5" t="n">
        <v>5</v>
      </c>
      <c r="G405" s="5" t="s">
        <v>46</v>
      </c>
      <c r="H405" s="5" t="n">
        <v>5</v>
      </c>
      <c r="I405" s="5"/>
    </row>
    <row r="406" customFormat="false" ht="52.2" hidden="false" customHeight="false" outlineLevel="0" collapsed="false">
      <c r="A406" s="5" t="s">
        <v>704</v>
      </c>
      <c r="B406" s="5" t="s">
        <v>14</v>
      </c>
      <c r="C406" s="5" t="s">
        <v>612</v>
      </c>
      <c r="D406" s="5" t="s">
        <v>705</v>
      </c>
      <c r="E406" s="5" t="s">
        <v>46</v>
      </c>
      <c r="F406" s="5" t="n">
        <v>5</v>
      </c>
      <c r="G406" s="5" t="s">
        <v>46</v>
      </c>
      <c r="H406" s="5" t="n">
        <v>5</v>
      </c>
      <c r="I406" s="5"/>
    </row>
    <row r="407" customFormat="false" ht="52.2" hidden="false" customHeight="false" outlineLevel="0" collapsed="false">
      <c r="A407" s="5" t="s">
        <v>706</v>
      </c>
      <c r="B407" s="5" t="s">
        <v>14</v>
      </c>
      <c r="C407" s="5" t="s">
        <v>612</v>
      </c>
      <c r="D407" s="5" t="s">
        <v>707</v>
      </c>
      <c r="E407" s="5" t="s">
        <v>46</v>
      </c>
      <c r="F407" s="5" t="n">
        <v>5</v>
      </c>
      <c r="G407" s="5" t="s">
        <v>46</v>
      </c>
      <c r="H407" s="5" t="n">
        <v>5</v>
      </c>
      <c r="I407" s="5"/>
    </row>
    <row r="408" customFormat="false" ht="52.2" hidden="false" customHeight="false" outlineLevel="0" collapsed="false">
      <c r="A408" s="5" t="s">
        <v>708</v>
      </c>
      <c r="B408" s="5" t="s">
        <v>14</v>
      </c>
      <c r="C408" s="5" t="s">
        <v>612</v>
      </c>
      <c r="D408" s="5" t="s">
        <v>709</v>
      </c>
      <c r="E408" s="5" t="s">
        <v>46</v>
      </c>
      <c r="F408" s="5" t="n">
        <v>5</v>
      </c>
      <c r="G408" s="5" t="s">
        <v>46</v>
      </c>
      <c r="H408" s="5" t="n">
        <v>5</v>
      </c>
      <c r="I408" s="5"/>
    </row>
    <row r="409" customFormat="false" ht="52.2" hidden="false" customHeight="false" outlineLevel="0" collapsed="false">
      <c r="A409" s="5" t="s">
        <v>710</v>
      </c>
      <c r="B409" s="5" t="s">
        <v>14</v>
      </c>
      <c r="C409" s="5" t="s">
        <v>612</v>
      </c>
      <c r="D409" s="5" t="s">
        <v>711</v>
      </c>
      <c r="E409" s="5" t="s">
        <v>46</v>
      </c>
      <c r="F409" s="5" t="n">
        <v>5</v>
      </c>
      <c r="G409" s="5" t="s">
        <v>46</v>
      </c>
      <c r="H409" s="5" t="n">
        <v>5</v>
      </c>
      <c r="I409" s="5"/>
    </row>
    <row r="410" customFormat="false" ht="52.2" hidden="false" customHeight="false" outlineLevel="0" collapsed="false">
      <c r="A410" s="5" t="s">
        <v>712</v>
      </c>
      <c r="B410" s="5" t="s">
        <v>14</v>
      </c>
      <c r="C410" s="5" t="s">
        <v>612</v>
      </c>
      <c r="D410" s="5" t="s">
        <v>713</v>
      </c>
      <c r="E410" s="5" t="s">
        <v>46</v>
      </c>
      <c r="F410" s="5" t="n">
        <v>5</v>
      </c>
      <c r="G410" s="5" t="s">
        <v>46</v>
      </c>
      <c r="H410" s="5" t="n">
        <v>5</v>
      </c>
      <c r="I410" s="5"/>
    </row>
    <row r="411" customFormat="false" ht="52.2" hidden="false" customHeight="false" outlineLevel="0" collapsed="false">
      <c r="A411" s="5" t="s">
        <v>714</v>
      </c>
      <c r="B411" s="5" t="s">
        <v>14</v>
      </c>
      <c r="C411" s="5" t="s">
        <v>612</v>
      </c>
      <c r="D411" s="5" t="s">
        <v>715</v>
      </c>
      <c r="E411" s="5" t="s">
        <v>46</v>
      </c>
      <c r="F411" s="5" t="n">
        <v>5</v>
      </c>
      <c r="G411" s="5" t="s">
        <v>46</v>
      </c>
      <c r="H411" s="5" t="n">
        <v>5</v>
      </c>
      <c r="I411" s="5"/>
    </row>
    <row r="412" customFormat="false" ht="52.2" hidden="false" customHeight="false" outlineLevel="0" collapsed="false">
      <c r="A412" s="5" t="s">
        <v>716</v>
      </c>
      <c r="B412" s="5" t="s">
        <v>14</v>
      </c>
      <c r="C412" s="5" t="s">
        <v>612</v>
      </c>
      <c r="D412" s="5" t="s">
        <v>717</v>
      </c>
      <c r="E412" s="5" t="s">
        <v>46</v>
      </c>
      <c r="F412" s="5" t="n">
        <v>5</v>
      </c>
      <c r="G412" s="5" t="s">
        <v>46</v>
      </c>
      <c r="H412" s="5" t="n">
        <v>5</v>
      </c>
      <c r="I412" s="5"/>
    </row>
    <row r="413" customFormat="false" ht="52.2" hidden="false" customHeight="false" outlineLevel="0" collapsed="false">
      <c r="A413" s="5" t="s">
        <v>718</v>
      </c>
      <c r="B413" s="5" t="s">
        <v>14</v>
      </c>
      <c r="C413" s="5" t="s">
        <v>612</v>
      </c>
      <c r="D413" s="5" t="s">
        <v>719</v>
      </c>
      <c r="E413" s="5" t="s">
        <v>46</v>
      </c>
      <c r="F413" s="5" t="n">
        <v>5</v>
      </c>
      <c r="G413" s="5" t="s">
        <v>46</v>
      </c>
      <c r="H413" s="5" t="n">
        <v>5</v>
      </c>
      <c r="I413" s="5"/>
    </row>
    <row r="414" customFormat="false" ht="52.2" hidden="false" customHeight="false" outlineLevel="0" collapsed="false">
      <c r="A414" s="5" t="s">
        <v>720</v>
      </c>
      <c r="B414" s="5" t="s">
        <v>14</v>
      </c>
      <c r="C414" s="5" t="s">
        <v>612</v>
      </c>
      <c r="D414" s="5" t="s">
        <v>721</v>
      </c>
      <c r="E414" s="5" t="s">
        <v>46</v>
      </c>
      <c r="F414" s="5" t="n">
        <v>5</v>
      </c>
      <c r="G414" s="5" t="s">
        <v>46</v>
      </c>
      <c r="H414" s="5" t="n">
        <v>5</v>
      </c>
      <c r="I414" s="5"/>
    </row>
    <row r="415" customFormat="false" ht="52.2" hidden="false" customHeight="false" outlineLevel="0" collapsed="false">
      <c r="A415" s="5" t="s">
        <v>722</v>
      </c>
      <c r="B415" s="5" t="s">
        <v>14</v>
      </c>
      <c r="C415" s="5" t="s">
        <v>612</v>
      </c>
      <c r="D415" s="5" t="s">
        <v>723</v>
      </c>
      <c r="E415" s="5" t="s">
        <v>46</v>
      </c>
      <c r="F415" s="5" t="n">
        <v>5</v>
      </c>
      <c r="G415" s="5" t="s">
        <v>46</v>
      </c>
      <c r="H415" s="5" t="n">
        <v>5</v>
      </c>
      <c r="I415" s="5"/>
    </row>
    <row r="416" customFormat="false" ht="52.2" hidden="false" customHeight="false" outlineLevel="0" collapsed="false">
      <c r="A416" s="5" t="s">
        <v>724</v>
      </c>
      <c r="B416" s="5" t="s">
        <v>15</v>
      </c>
      <c r="C416" s="5" t="s">
        <v>725</v>
      </c>
      <c r="D416" s="5" t="s">
        <v>726</v>
      </c>
      <c r="E416" s="5" t="s">
        <v>46</v>
      </c>
      <c r="F416" s="5" t="n">
        <v>5</v>
      </c>
      <c r="G416" s="5" t="s">
        <v>402</v>
      </c>
      <c r="H416" s="5"/>
      <c r="I416" s="5" t="s">
        <v>727</v>
      </c>
    </row>
    <row r="417" customFormat="false" ht="52.2" hidden="false" customHeight="false" outlineLevel="0" collapsed="false">
      <c r="A417" s="5" t="s">
        <v>728</v>
      </c>
      <c r="B417" s="5" t="s">
        <v>15</v>
      </c>
      <c r="C417" s="5" t="s">
        <v>725</v>
      </c>
      <c r="D417" s="5" t="s">
        <v>729</v>
      </c>
      <c r="E417" s="5" t="s">
        <v>46</v>
      </c>
      <c r="F417" s="5" t="n">
        <v>5</v>
      </c>
      <c r="G417" s="5" t="s">
        <v>402</v>
      </c>
      <c r="H417" s="5"/>
      <c r="I417" s="5" t="s">
        <v>727</v>
      </c>
    </row>
    <row r="418" customFormat="false" ht="52.2" hidden="false" customHeight="false" outlineLevel="0" collapsed="false">
      <c r="A418" s="5" t="s">
        <v>730</v>
      </c>
      <c r="B418" s="5" t="s">
        <v>15</v>
      </c>
      <c r="C418" s="5" t="s">
        <v>725</v>
      </c>
      <c r="D418" s="5" t="s">
        <v>731</v>
      </c>
      <c r="E418" s="5" t="s">
        <v>46</v>
      </c>
      <c r="F418" s="5" t="n">
        <v>5</v>
      </c>
      <c r="G418" s="5" t="s">
        <v>402</v>
      </c>
      <c r="H418" s="5"/>
      <c r="I418" s="5" t="s">
        <v>727</v>
      </c>
    </row>
    <row r="419" customFormat="false" ht="52.2" hidden="false" customHeight="false" outlineLevel="0" collapsed="false">
      <c r="A419" s="5" t="s">
        <v>732</v>
      </c>
      <c r="B419" s="5" t="s">
        <v>15</v>
      </c>
      <c r="C419" s="5" t="s">
        <v>725</v>
      </c>
      <c r="D419" s="5" t="s">
        <v>733</v>
      </c>
      <c r="E419" s="5" t="s">
        <v>46</v>
      </c>
      <c r="F419" s="5" t="n">
        <v>5</v>
      </c>
      <c r="G419" s="5" t="s">
        <v>402</v>
      </c>
      <c r="H419" s="5"/>
      <c r="I419" s="5" t="s">
        <v>727</v>
      </c>
    </row>
    <row r="420" customFormat="false" ht="52.2" hidden="false" customHeight="false" outlineLevel="0" collapsed="false">
      <c r="A420" s="5" t="s">
        <v>734</v>
      </c>
      <c r="B420" s="5" t="s">
        <v>15</v>
      </c>
      <c r="C420" s="5" t="s">
        <v>725</v>
      </c>
      <c r="D420" s="5" t="s">
        <v>735</v>
      </c>
      <c r="E420" s="5" t="s">
        <v>46</v>
      </c>
      <c r="F420" s="5" t="n">
        <v>5</v>
      </c>
      <c r="G420" s="5" t="s">
        <v>402</v>
      </c>
      <c r="H420" s="5"/>
      <c r="I420" s="5" t="s">
        <v>727</v>
      </c>
    </row>
    <row r="421" customFormat="false" ht="52.2" hidden="false" customHeight="false" outlineLevel="0" collapsed="false">
      <c r="A421" s="5" t="s">
        <v>736</v>
      </c>
      <c r="B421" s="5" t="s">
        <v>15</v>
      </c>
      <c r="C421" s="5" t="s">
        <v>725</v>
      </c>
      <c r="D421" s="5" t="s">
        <v>737</v>
      </c>
      <c r="E421" s="5" t="s">
        <v>46</v>
      </c>
      <c r="F421" s="5" t="n">
        <v>5</v>
      </c>
      <c r="G421" s="5" t="s">
        <v>402</v>
      </c>
      <c r="H421" s="5"/>
      <c r="I421" s="5" t="s">
        <v>727</v>
      </c>
    </row>
    <row r="422" customFormat="false" ht="52.2" hidden="false" customHeight="false" outlineLevel="0" collapsed="false">
      <c r="A422" s="5" t="s">
        <v>738</v>
      </c>
      <c r="B422" s="5" t="s">
        <v>15</v>
      </c>
      <c r="C422" s="5" t="s">
        <v>725</v>
      </c>
      <c r="D422" s="5" t="s">
        <v>739</v>
      </c>
      <c r="E422" s="5" t="s">
        <v>46</v>
      </c>
      <c r="F422" s="5" t="n">
        <v>5</v>
      </c>
      <c r="G422" s="5" t="s">
        <v>402</v>
      </c>
      <c r="H422" s="5"/>
      <c r="I422" s="5" t="s">
        <v>727</v>
      </c>
    </row>
    <row r="423" customFormat="false" ht="52.2" hidden="false" customHeight="false" outlineLevel="0" collapsed="false">
      <c r="A423" s="5" t="s">
        <v>740</v>
      </c>
      <c r="B423" s="5" t="s">
        <v>15</v>
      </c>
      <c r="C423" s="5" t="s">
        <v>725</v>
      </c>
      <c r="D423" s="5" t="s">
        <v>741</v>
      </c>
      <c r="E423" s="5" t="s">
        <v>46</v>
      </c>
      <c r="F423" s="5" t="n">
        <v>5</v>
      </c>
      <c r="G423" s="5" t="s">
        <v>402</v>
      </c>
      <c r="H423" s="5"/>
      <c r="I423" s="5" t="s">
        <v>727</v>
      </c>
    </row>
    <row r="424" customFormat="false" ht="52.2" hidden="false" customHeight="false" outlineLevel="0" collapsed="false">
      <c r="A424" s="5" t="s">
        <v>742</v>
      </c>
      <c r="B424" s="5" t="s">
        <v>15</v>
      </c>
      <c r="C424" s="5" t="s">
        <v>725</v>
      </c>
      <c r="D424" s="5" t="s">
        <v>743</v>
      </c>
      <c r="E424" s="5" t="s">
        <v>46</v>
      </c>
      <c r="F424" s="5" t="n">
        <v>5</v>
      </c>
      <c r="G424" s="5" t="s">
        <v>402</v>
      </c>
      <c r="H424" s="5"/>
      <c r="I424" s="5" t="s">
        <v>727</v>
      </c>
    </row>
    <row r="425" customFormat="false" ht="52.2" hidden="false" customHeight="false" outlineLevel="0" collapsed="false">
      <c r="A425" s="5" t="s">
        <v>744</v>
      </c>
      <c r="B425" s="5" t="s">
        <v>15</v>
      </c>
      <c r="C425" s="5" t="s">
        <v>725</v>
      </c>
      <c r="D425" s="5" t="s">
        <v>745</v>
      </c>
      <c r="E425" s="5" t="s">
        <v>46</v>
      </c>
      <c r="F425" s="5" t="n">
        <v>5</v>
      </c>
      <c r="G425" s="5" t="s">
        <v>402</v>
      </c>
      <c r="H425" s="5"/>
      <c r="I425" s="5" t="s">
        <v>727</v>
      </c>
    </row>
    <row r="426" customFormat="false" ht="52.2" hidden="false" customHeight="false" outlineLevel="0" collapsed="false">
      <c r="A426" s="5" t="s">
        <v>746</v>
      </c>
      <c r="B426" s="5" t="s">
        <v>15</v>
      </c>
      <c r="C426" s="5" t="s">
        <v>725</v>
      </c>
      <c r="D426" s="5" t="s">
        <v>747</v>
      </c>
      <c r="E426" s="5" t="s">
        <v>46</v>
      </c>
      <c r="F426" s="5" t="n">
        <v>5</v>
      </c>
      <c r="G426" s="5" t="s">
        <v>402</v>
      </c>
      <c r="H426" s="5"/>
      <c r="I426" s="5" t="s">
        <v>727</v>
      </c>
    </row>
    <row r="427" customFormat="false" ht="52.2" hidden="false" customHeight="false" outlineLevel="0" collapsed="false">
      <c r="A427" s="5" t="s">
        <v>748</v>
      </c>
      <c r="B427" s="5" t="s">
        <v>15</v>
      </c>
      <c r="C427" s="5" t="s">
        <v>725</v>
      </c>
      <c r="D427" s="5" t="s">
        <v>749</v>
      </c>
      <c r="E427" s="5" t="s">
        <v>46</v>
      </c>
      <c r="F427" s="5" t="n">
        <v>5</v>
      </c>
      <c r="G427" s="5" t="s">
        <v>402</v>
      </c>
      <c r="H427" s="5"/>
      <c r="I427" s="5" t="s">
        <v>727</v>
      </c>
    </row>
    <row r="428" customFormat="false" ht="52.2" hidden="false" customHeight="false" outlineLevel="0" collapsed="false">
      <c r="A428" s="5" t="s">
        <v>750</v>
      </c>
      <c r="B428" s="5" t="s">
        <v>15</v>
      </c>
      <c r="C428" s="5" t="s">
        <v>725</v>
      </c>
      <c r="D428" s="5" t="s">
        <v>751</v>
      </c>
      <c r="E428" s="5" t="s">
        <v>46</v>
      </c>
      <c r="F428" s="5" t="n">
        <v>5</v>
      </c>
      <c r="G428" s="5" t="s">
        <v>402</v>
      </c>
      <c r="H428" s="5"/>
      <c r="I428" s="5" t="s">
        <v>727</v>
      </c>
    </row>
    <row r="429" customFormat="false" ht="52.2" hidden="false" customHeight="false" outlineLevel="0" collapsed="false">
      <c r="A429" s="5" t="s">
        <v>752</v>
      </c>
      <c r="B429" s="5" t="s">
        <v>15</v>
      </c>
      <c r="C429" s="5" t="s">
        <v>725</v>
      </c>
      <c r="D429" s="5" t="s">
        <v>753</v>
      </c>
      <c r="E429" s="5" t="s">
        <v>46</v>
      </c>
      <c r="F429" s="5" t="n">
        <v>5</v>
      </c>
      <c r="G429" s="5" t="s">
        <v>402</v>
      </c>
      <c r="H429" s="5"/>
      <c r="I429" s="5" t="s">
        <v>727</v>
      </c>
    </row>
    <row r="430" customFormat="false" ht="52.2" hidden="false" customHeight="false" outlineLevel="0" collapsed="false">
      <c r="A430" s="5" t="s">
        <v>754</v>
      </c>
      <c r="B430" s="5" t="s">
        <v>15</v>
      </c>
      <c r="C430" s="5" t="s">
        <v>725</v>
      </c>
      <c r="D430" s="5" t="s">
        <v>755</v>
      </c>
      <c r="E430" s="5" t="s">
        <v>46</v>
      </c>
      <c r="F430" s="5" t="n">
        <v>5</v>
      </c>
      <c r="G430" s="5" t="s">
        <v>402</v>
      </c>
      <c r="H430" s="5"/>
      <c r="I430" s="5" t="s">
        <v>727</v>
      </c>
    </row>
    <row r="431" customFormat="false" ht="52.2" hidden="false" customHeight="false" outlineLevel="0" collapsed="false">
      <c r="A431" s="5" t="s">
        <v>756</v>
      </c>
      <c r="B431" s="5" t="s">
        <v>16</v>
      </c>
      <c r="C431" s="5" t="s">
        <v>725</v>
      </c>
      <c r="D431" s="5" t="s">
        <v>757</v>
      </c>
      <c r="E431" s="5" t="s">
        <v>46</v>
      </c>
      <c r="F431" s="5" t="n">
        <v>5</v>
      </c>
      <c r="G431" s="5" t="s">
        <v>402</v>
      </c>
      <c r="H431" s="5"/>
      <c r="I431" s="5" t="s">
        <v>727</v>
      </c>
    </row>
    <row r="432" customFormat="false" ht="52.2" hidden="false" customHeight="false" outlineLevel="0" collapsed="false">
      <c r="A432" s="5" t="s">
        <v>758</v>
      </c>
      <c r="B432" s="5" t="s">
        <v>16</v>
      </c>
      <c r="C432" s="5" t="s">
        <v>725</v>
      </c>
      <c r="D432" s="5" t="s">
        <v>759</v>
      </c>
      <c r="E432" s="5" t="s">
        <v>46</v>
      </c>
      <c r="F432" s="5" t="n">
        <v>5</v>
      </c>
      <c r="G432" s="5" t="s">
        <v>402</v>
      </c>
      <c r="H432" s="5"/>
      <c r="I432" s="5" t="s">
        <v>727</v>
      </c>
    </row>
    <row r="433" customFormat="false" ht="52.2" hidden="false" customHeight="false" outlineLevel="0" collapsed="false">
      <c r="A433" s="5" t="s">
        <v>760</v>
      </c>
      <c r="B433" s="5" t="s">
        <v>16</v>
      </c>
      <c r="C433" s="5" t="s">
        <v>725</v>
      </c>
      <c r="D433" s="5" t="s">
        <v>761</v>
      </c>
      <c r="E433" s="5" t="s">
        <v>46</v>
      </c>
      <c r="F433" s="5" t="n">
        <v>5</v>
      </c>
      <c r="G433" s="5" t="s">
        <v>402</v>
      </c>
      <c r="H433" s="5"/>
      <c r="I433" s="5" t="s">
        <v>727</v>
      </c>
    </row>
    <row r="434" customFormat="false" ht="52.2" hidden="false" customHeight="false" outlineLevel="0" collapsed="false">
      <c r="A434" s="5" t="s">
        <v>762</v>
      </c>
      <c r="B434" s="5" t="s">
        <v>16</v>
      </c>
      <c r="C434" s="5" t="s">
        <v>725</v>
      </c>
      <c r="D434" s="5" t="s">
        <v>763</v>
      </c>
      <c r="E434" s="5" t="s">
        <v>46</v>
      </c>
      <c r="F434" s="5" t="n">
        <v>5</v>
      </c>
      <c r="G434" s="5" t="s">
        <v>402</v>
      </c>
      <c r="H434" s="5"/>
      <c r="I434" s="5" t="s">
        <v>727</v>
      </c>
    </row>
    <row r="435" customFormat="false" ht="52.2" hidden="false" customHeight="false" outlineLevel="0" collapsed="false">
      <c r="A435" s="5" t="s">
        <v>764</v>
      </c>
      <c r="B435" s="5" t="s">
        <v>16</v>
      </c>
      <c r="C435" s="5" t="s">
        <v>725</v>
      </c>
      <c r="D435" s="5" t="s">
        <v>765</v>
      </c>
      <c r="E435" s="5" t="s">
        <v>46</v>
      </c>
      <c r="F435" s="5" t="n">
        <v>5</v>
      </c>
      <c r="G435" s="5" t="s">
        <v>402</v>
      </c>
      <c r="H435" s="5"/>
      <c r="I435" s="5" t="s">
        <v>727</v>
      </c>
    </row>
    <row r="436" customFormat="false" ht="52.2" hidden="false" customHeight="false" outlineLevel="0" collapsed="false">
      <c r="A436" s="5" t="s">
        <v>766</v>
      </c>
      <c r="B436" s="5" t="s">
        <v>16</v>
      </c>
      <c r="C436" s="5" t="s">
        <v>725</v>
      </c>
      <c r="D436" s="5" t="s">
        <v>767</v>
      </c>
      <c r="E436" s="5" t="s">
        <v>46</v>
      </c>
      <c r="F436" s="5" t="n">
        <v>5</v>
      </c>
      <c r="G436" s="5" t="s">
        <v>402</v>
      </c>
      <c r="H436" s="5"/>
      <c r="I436" s="5" t="s">
        <v>727</v>
      </c>
    </row>
    <row r="437" customFormat="false" ht="52.2" hidden="false" customHeight="false" outlineLevel="0" collapsed="false">
      <c r="A437" s="5" t="s">
        <v>768</v>
      </c>
      <c r="B437" s="5" t="s">
        <v>16</v>
      </c>
      <c r="C437" s="5" t="s">
        <v>725</v>
      </c>
      <c r="D437" s="5" t="s">
        <v>769</v>
      </c>
      <c r="E437" s="5" t="s">
        <v>46</v>
      </c>
      <c r="F437" s="5" t="n">
        <v>5</v>
      </c>
      <c r="G437" s="5" t="s">
        <v>402</v>
      </c>
      <c r="H437" s="5"/>
      <c r="I437" s="5" t="s">
        <v>727</v>
      </c>
    </row>
    <row r="438" customFormat="false" ht="52.2" hidden="false" customHeight="false" outlineLevel="0" collapsed="false">
      <c r="A438" s="5" t="s">
        <v>770</v>
      </c>
      <c r="B438" s="5" t="s">
        <v>16</v>
      </c>
      <c r="C438" s="5" t="s">
        <v>725</v>
      </c>
      <c r="D438" s="5" t="s">
        <v>771</v>
      </c>
      <c r="E438" s="5" t="s">
        <v>46</v>
      </c>
      <c r="F438" s="5" t="n">
        <v>5</v>
      </c>
      <c r="G438" s="5" t="s">
        <v>402</v>
      </c>
      <c r="H438" s="5"/>
      <c r="I438" s="5" t="s">
        <v>727</v>
      </c>
    </row>
    <row r="439" customFormat="false" ht="52.2" hidden="false" customHeight="false" outlineLevel="0" collapsed="false">
      <c r="A439" s="5" t="s">
        <v>772</v>
      </c>
      <c r="B439" s="5" t="s">
        <v>16</v>
      </c>
      <c r="C439" s="5" t="s">
        <v>725</v>
      </c>
      <c r="D439" s="5" t="s">
        <v>773</v>
      </c>
      <c r="E439" s="5" t="s">
        <v>46</v>
      </c>
      <c r="F439" s="5" t="n">
        <v>5</v>
      </c>
      <c r="G439" s="5" t="s">
        <v>402</v>
      </c>
      <c r="H439" s="5"/>
      <c r="I439" s="5" t="s">
        <v>727</v>
      </c>
    </row>
    <row r="440" customFormat="false" ht="52.2" hidden="false" customHeight="false" outlineLevel="0" collapsed="false">
      <c r="A440" s="5" t="s">
        <v>774</v>
      </c>
      <c r="B440" s="5" t="s">
        <v>16</v>
      </c>
      <c r="C440" s="5" t="s">
        <v>725</v>
      </c>
      <c r="D440" s="5" t="s">
        <v>775</v>
      </c>
      <c r="E440" s="5" t="s">
        <v>46</v>
      </c>
      <c r="F440" s="5" t="n">
        <v>5</v>
      </c>
      <c r="G440" s="5" t="s">
        <v>402</v>
      </c>
      <c r="H440" s="5"/>
      <c r="I440" s="5" t="s">
        <v>727</v>
      </c>
    </row>
    <row r="441" customFormat="false" ht="52.2" hidden="false" customHeight="false" outlineLevel="0" collapsed="false">
      <c r="A441" s="5" t="s">
        <v>776</v>
      </c>
      <c r="B441" s="5" t="s">
        <v>16</v>
      </c>
      <c r="C441" s="5" t="s">
        <v>725</v>
      </c>
      <c r="D441" s="5" t="s">
        <v>777</v>
      </c>
      <c r="E441" s="5" t="s">
        <v>46</v>
      </c>
      <c r="F441" s="5" t="n">
        <v>5</v>
      </c>
      <c r="G441" s="5" t="s">
        <v>402</v>
      </c>
      <c r="H441" s="5"/>
      <c r="I441" s="5" t="s">
        <v>727</v>
      </c>
    </row>
    <row r="442" customFormat="false" ht="52.2" hidden="false" customHeight="false" outlineLevel="0" collapsed="false">
      <c r="A442" s="5" t="s">
        <v>778</v>
      </c>
      <c r="B442" s="5" t="s">
        <v>16</v>
      </c>
      <c r="C442" s="5" t="s">
        <v>725</v>
      </c>
      <c r="D442" s="5" t="s">
        <v>779</v>
      </c>
      <c r="E442" s="5" t="s">
        <v>46</v>
      </c>
      <c r="F442" s="5" t="n">
        <v>5</v>
      </c>
      <c r="G442" s="5" t="s">
        <v>402</v>
      </c>
      <c r="H442" s="5"/>
      <c r="I442" s="5" t="s">
        <v>727</v>
      </c>
    </row>
    <row r="443" customFormat="false" ht="52.2" hidden="false" customHeight="false" outlineLevel="0" collapsed="false">
      <c r="A443" s="5" t="s">
        <v>780</v>
      </c>
      <c r="B443" s="5" t="s">
        <v>16</v>
      </c>
      <c r="C443" s="5" t="s">
        <v>725</v>
      </c>
      <c r="D443" s="5" t="s">
        <v>781</v>
      </c>
      <c r="E443" s="5" t="s">
        <v>46</v>
      </c>
      <c r="F443" s="5" t="n">
        <v>5</v>
      </c>
      <c r="G443" s="5" t="s">
        <v>402</v>
      </c>
      <c r="H443" s="5"/>
      <c r="I443" s="5" t="s">
        <v>727</v>
      </c>
    </row>
    <row r="444" customFormat="false" ht="52.2" hidden="false" customHeight="false" outlineLevel="0" collapsed="false">
      <c r="A444" s="5" t="s">
        <v>782</v>
      </c>
      <c r="B444" s="5" t="s">
        <v>16</v>
      </c>
      <c r="C444" s="5" t="s">
        <v>725</v>
      </c>
      <c r="D444" s="5" t="s">
        <v>755</v>
      </c>
      <c r="E444" s="5" t="s">
        <v>46</v>
      </c>
      <c r="F444" s="5" t="n">
        <v>5</v>
      </c>
      <c r="G444" s="5" t="s">
        <v>402</v>
      </c>
      <c r="H444" s="5"/>
      <c r="I444" s="5" t="s">
        <v>727</v>
      </c>
    </row>
    <row r="445" customFormat="false" ht="52.2" hidden="false" customHeight="false" outlineLevel="0" collapsed="false">
      <c r="A445" s="5" t="s">
        <v>783</v>
      </c>
      <c r="B445" s="5" t="s">
        <v>17</v>
      </c>
      <c r="C445" s="5" t="s">
        <v>725</v>
      </c>
      <c r="D445" s="5" t="s">
        <v>784</v>
      </c>
      <c r="E445" s="5" t="s">
        <v>46</v>
      </c>
      <c r="F445" s="5" t="n">
        <v>5</v>
      </c>
      <c r="G445" s="5" t="s">
        <v>402</v>
      </c>
      <c r="H445" s="5"/>
      <c r="I445" s="5" t="s">
        <v>727</v>
      </c>
    </row>
    <row r="446" customFormat="false" ht="52.2" hidden="false" customHeight="false" outlineLevel="0" collapsed="false">
      <c r="A446" s="5" t="s">
        <v>785</v>
      </c>
      <c r="B446" s="5" t="s">
        <v>17</v>
      </c>
      <c r="C446" s="5" t="s">
        <v>725</v>
      </c>
      <c r="D446" s="5" t="s">
        <v>786</v>
      </c>
      <c r="E446" s="5" t="s">
        <v>46</v>
      </c>
      <c r="F446" s="5" t="n">
        <v>5</v>
      </c>
      <c r="G446" s="5" t="s">
        <v>402</v>
      </c>
      <c r="H446" s="5"/>
      <c r="I446" s="5" t="s">
        <v>727</v>
      </c>
    </row>
    <row r="447" customFormat="false" ht="52.2" hidden="false" customHeight="false" outlineLevel="0" collapsed="false">
      <c r="A447" s="5" t="s">
        <v>787</v>
      </c>
      <c r="B447" s="5" t="s">
        <v>17</v>
      </c>
      <c r="C447" s="5" t="s">
        <v>725</v>
      </c>
      <c r="D447" s="5" t="s">
        <v>788</v>
      </c>
      <c r="E447" s="5" t="s">
        <v>46</v>
      </c>
      <c r="F447" s="5" t="n">
        <v>5</v>
      </c>
      <c r="G447" s="5" t="s">
        <v>402</v>
      </c>
      <c r="H447" s="5"/>
      <c r="I447" s="5" t="s">
        <v>727</v>
      </c>
    </row>
    <row r="448" customFormat="false" ht="52.2" hidden="false" customHeight="false" outlineLevel="0" collapsed="false">
      <c r="A448" s="5" t="s">
        <v>789</v>
      </c>
      <c r="B448" s="5" t="s">
        <v>17</v>
      </c>
      <c r="C448" s="5" t="s">
        <v>725</v>
      </c>
      <c r="D448" s="5" t="s">
        <v>790</v>
      </c>
      <c r="E448" s="5" t="s">
        <v>46</v>
      </c>
      <c r="F448" s="5" t="n">
        <v>5</v>
      </c>
      <c r="G448" s="5" t="s">
        <v>402</v>
      </c>
      <c r="H448" s="5"/>
      <c r="I448" s="5" t="s">
        <v>727</v>
      </c>
    </row>
    <row r="449" customFormat="false" ht="52.2" hidden="false" customHeight="false" outlineLevel="0" collapsed="false">
      <c r="A449" s="5" t="s">
        <v>791</v>
      </c>
      <c r="B449" s="5" t="s">
        <v>17</v>
      </c>
      <c r="C449" s="5" t="s">
        <v>725</v>
      </c>
      <c r="D449" s="5" t="s">
        <v>792</v>
      </c>
      <c r="E449" s="5" t="s">
        <v>46</v>
      </c>
      <c r="F449" s="5" t="n">
        <v>5</v>
      </c>
      <c r="G449" s="5" t="s">
        <v>402</v>
      </c>
      <c r="H449" s="5"/>
      <c r="I449" s="5" t="s">
        <v>727</v>
      </c>
    </row>
    <row r="450" customFormat="false" ht="52.2" hidden="false" customHeight="false" outlineLevel="0" collapsed="false">
      <c r="A450" s="5" t="s">
        <v>793</v>
      </c>
      <c r="B450" s="5" t="s">
        <v>17</v>
      </c>
      <c r="C450" s="5" t="s">
        <v>725</v>
      </c>
      <c r="D450" s="5" t="s">
        <v>794</v>
      </c>
      <c r="E450" s="5" t="s">
        <v>46</v>
      </c>
      <c r="F450" s="5" t="n">
        <v>5</v>
      </c>
      <c r="G450" s="5" t="s">
        <v>402</v>
      </c>
      <c r="H450" s="5"/>
      <c r="I450" s="5" t="s">
        <v>727</v>
      </c>
    </row>
    <row r="451" customFormat="false" ht="52.2" hidden="false" customHeight="false" outlineLevel="0" collapsed="false">
      <c r="A451" s="5" t="s">
        <v>795</v>
      </c>
      <c r="B451" s="5" t="s">
        <v>17</v>
      </c>
      <c r="C451" s="5" t="s">
        <v>725</v>
      </c>
      <c r="D451" s="5" t="s">
        <v>796</v>
      </c>
      <c r="E451" s="5" t="s">
        <v>46</v>
      </c>
      <c r="F451" s="5" t="n">
        <v>5</v>
      </c>
      <c r="G451" s="5" t="s">
        <v>402</v>
      </c>
      <c r="H451" s="5"/>
      <c r="I451" s="5" t="s">
        <v>727</v>
      </c>
    </row>
    <row r="452" customFormat="false" ht="52.2" hidden="false" customHeight="false" outlineLevel="0" collapsed="false">
      <c r="A452" s="5" t="s">
        <v>797</v>
      </c>
      <c r="B452" s="5" t="s">
        <v>17</v>
      </c>
      <c r="C452" s="5" t="s">
        <v>725</v>
      </c>
      <c r="D452" s="5" t="s">
        <v>798</v>
      </c>
      <c r="E452" s="5" t="s">
        <v>46</v>
      </c>
      <c r="F452" s="5" t="n">
        <v>5</v>
      </c>
      <c r="G452" s="5" t="s">
        <v>402</v>
      </c>
      <c r="H452" s="5"/>
      <c r="I452" s="5" t="s">
        <v>727</v>
      </c>
    </row>
    <row r="453" customFormat="false" ht="52.2" hidden="false" customHeight="false" outlineLevel="0" collapsed="false">
      <c r="A453" s="5" t="s">
        <v>799</v>
      </c>
      <c r="B453" s="5" t="s">
        <v>17</v>
      </c>
      <c r="C453" s="5" t="s">
        <v>725</v>
      </c>
      <c r="D453" s="5" t="s">
        <v>800</v>
      </c>
      <c r="E453" s="5" t="s">
        <v>46</v>
      </c>
      <c r="F453" s="5" t="n">
        <v>5</v>
      </c>
      <c r="G453" s="5" t="s">
        <v>402</v>
      </c>
      <c r="H453" s="5"/>
      <c r="I453" s="5" t="s">
        <v>727</v>
      </c>
    </row>
    <row r="454" customFormat="false" ht="52.2" hidden="false" customHeight="false" outlineLevel="0" collapsed="false">
      <c r="A454" s="5" t="s">
        <v>801</v>
      </c>
      <c r="B454" s="5" t="s">
        <v>17</v>
      </c>
      <c r="C454" s="5" t="s">
        <v>725</v>
      </c>
      <c r="D454" s="5" t="s">
        <v>802</v>
      </c>
      <c r="E454" s="5" t="s">
        <v>46</v>
      </c>
      <c r="F454" s="5" t="n">
        <v>5</v>
      </c>
      <c r="G454" s="5" t="s">
        <v>402</v>
      </c>
      <c r="H454" s="5"/>
      <c r="I454" s="5" t="s">
        <v>727</v>
      </c>
    </row>
    <row r="455" customFormat="false" ht="52.2" hidden="false" customHeight="false" outlineLevel="0" collapsed="false">
      <c r="A455" s="5" t="s">
        <v>803</v>
      </c>
      <c r="B455" s="5" t="s">
        <v>17</v>
      </c>
      <c r="C455" s="5" t="s">
        <v>725</v>
      </c>
      <c r="D455" s="5" t="s">
        <v>804</v>
      </c>
      <c r="E455" s="5" t="s">
        <v>46</v>
      </c>
      <c r="F455" s="5" t="n">
        <v>5</v>
      </c>
      <c r="G455" s="5" t="s">
        <v>402</v>
      </c>
      <c r="H455" s="5"/>
      <c r="I455" s="5" t="s">
        <v>727</v>
      </c>
    </row>
    <row r="456" customFormat="false" ht="52.2" hidden="false" customHeight="false" outlineLevel="0" collapsed="false">
      <c r="A456" s="5" t="s">
        <v>805</v>
      </c>
      <c r="B456" s="5" t="s">
        <v>17</v>
      </c>
      <c r="C456" s="5" t="s">
        <v>725</v>
      </c>
      <c r="D456" s="5" t="s">
        <v>806</v>
      </c>
      <c r="E456" s="5" t="s">
        <v>46</v>
      </c>
      <c r="F456" s="5" t="n">
        <v>5</v>
      </c>
      <c r="G456" s="5" t="s">
        <v>402</v>
      </c>
      <c r="H456" s="5"/>
      <c r="I456" s="5" t="s">
        <v>727</v>
      </c>
    </row>
    <row r="457" customFormat="false" ht="52.2" hidden="false" customHeight="false" outlineLevel="0" collapsed="false">
      <c r="A457" s="5" t="s">
        <v>807</v>
      </c>
      <c r="B457" s="5" t="s">
        <v>17</v>
      </c>
      <c r="C457" s="5" t="s">
        <v>725</v>
      </c>
      <c r="D457" s="5" t="s">
        <v>808</v>
      </c>
      <c r="E457" s="5" t="s">
        <v>46</v>
      </c>
      <c r="F457" s="5" t="n">
        <v>5</v>
      </c>
      <c r="G457" s="5" t="s">
        <v>402</v>
      </c>
      <c r="H457" s="5"/>
      <c r="I457" s="5" t="s">
        <v>727</v>
      </c>
    </row>
    <row r="458" customFormat="false" ht="52.2" hidden="false" customHeight="false" outlineLevel="0" collapsed="false">
      <c r="A458" s="5" t="s">
        <v>809</v>
      </c>
      <c r="B458" s="5" t="s">
        <v>17</v>
      </c>
      <c r="C458" s="5" t="s">
        <v>725</v>
      </c>
      <c r="D458" s="5" t="s">
        <v>755</v>
      </c>
      <c r="E458" s="5" t="s">
        <v>46</v>
      </c>
      <c r="F458" s="5" t="n">
        <v>5</v>
      </c>
      <c r="G458" s="5" t="s">
        <v>402</v>
      </c>
      <c r="H458" s="5"/>
      <c r="I458" s="5" t="s">
        <v>727</v>
      </c>
    </row>
    <row r="459" customFormat="false" ht="52.2" hidden="false" customHeight="false" outlineLevel="0" collapsed="false">
      <c r="A459" s="5" t="s">
        <v>810</v>
      </c>
      <c r="B459" s="5" t="s">
        <v>18</v>
      </c>
      <c r="C459" s="5" t="s">
        <v>811</v>
      </c>
      <c r="D459" s="5" t="s">
        <v>812</v>
      </c>
      <c r="E459" s="5" t="s">
        <v>46</v>
      </c>
      <c r="F459" s="5" t="n">
        <v>5</v>
      </c>
      <c r="G459" s="5" t="s">
        <v>402</v>
      </c>
      <c r="H459" s="5"/>
      <c r="I459" s="5" t="s">
        <v>727</v>
      </c>
    </row>
    <row r="460" customFormat="false" ht="52.2" hidden="false" customHeight="false" outlineLevel="0" collapsed="false">
      <c r="A460" s="5" t="s">
        <v>813</v>
      </c>
      <c r="B460" s="5" t="s">
        <v>18</v>
      </c>
      <c r="C460" s="5" t="s">
        <v>811</v>
      </c>
      <c r="D460" s="5" t="s">
        <v>814</v>
      </c>
      <c r="E460" s="5" t="s">
        <v>46</v>
      </c>
      <c r="F460" s="5" t="n">
        <v>5</v>
      </c>
      <c r="G460" s="5" t="s">
        <v>402</v>
      </c>
      <c r="H460" s="5"/>
      <c r="I460" s="5" t="s">
        <v>727</v>
      </c>
    </row>
    <row r="461" customFormat="false" ht="52.2" hidden="false" customHeight="false" outlineLevel="0" collapsed="false">
      <c r="A461" s="5" t="s">
        <v>815</v>
      </c>
      <c r="B461" s="5" t="s">
        <v>18</v>
      </c>
      <c r="C461" s="5" t="s">
        <v>811</v>
      </c>
      <c r="D461" s="5" t="s">
        <v>816</v>
      </c>
      <c r="E461" s="5" t="s">
        <v>46</v>
      </c>
      <c r="F461" s="5" t="n">
        <v>5</v>
      </c>
      <c r="G461" s="5" t="s">
        <v>402</v>
      </c>
      <c r="H461" s="5"/>
      <c r="I461" s="5" t="s">
        <v>727</v>
      </c>
    </row>
    <row r="462" customFormat="false" ht="52.2" hidden="false" customHeight="false" outlineLevel="0" collapsed="false">
      <c r="A462" s="5" t="s">
        <v>817</v>
      </c>
      <c r="B462" s="5" t="s">
        <v>18</v>
      </c>
      <c r="C462" s="5" t="s">
        <v>811</v>
      </c>
      <c r="D462" s="5" t="s">
        <v>818</v>
      </c>
      <c r="E462" s="5" t="s">
        <v>46</v>
      </c>
      <c r="F462" s="5" t="n">
        <v>5</v>
      </c>
      <c r="G462" s="5" t="s">
        <v>402</v>
      </c>
      <c r="H462" s="5"/>
      <c r="I462" s="5" t="s">
        <v>727</v>
      </c>
    </row>
    <row r="463" customFormat="false" ht="52.2" hidden="false" customHeight="false" outlineLevel="0" collapsed="false">
      <c r="A463" s="5" t="s">
        <v>819</v>
      </c>
      <c r="B463" s="5" t="s">
        <v>18</v>
      </c>
      <c r="C463" s="5" t="s">
        <v>811</v>
      </c>
      <c r="D463" s="5" t="s">
        <v>820</v>
      </c>
      <c r="E463" s="5" t="s">
        <v>46</v>
      </c>
      <c r="F463" s="5" t="n">
        <v>5</v>
      </c>
      <c r="G463" s="5" t="s">
        <v>402</v>
      </c>
      <c r="H463" s="5"/>
      <c r="I463" s="5" t="s">
        <v>727</v>
      </c>
    </row>
    <row r="464" customFormat="false" ht="52.2" hidden="false" customHeight="false" outlineLevel="0" collapsed="false">
      <c r="A464" s="5" t="s">
        <v>821</v>
      </c>
      <c r="B464" s="5" t="s">
        <v>19</v>
      </c>
      <c r="C464" s="5" t="s">
        <v>822</v>
      </c>
      <c r="D464" s="5" t="s">
        <v>823</v>
      </c>
      <c r="E464" s="5" t="s">
        <v>46</v>
      </c>
      <c r="F464" s="5" t="n">
        <v>5</v>
      </c>
      <c r="G464" s="5" t="s">
        <v>402</v>
      </c>
      <c r="H464" s="5"/>
      <c r="I464" s="5" t="s">
        <v>727</v>
      </c>
    </row>
    <row r="465" customFormat="false" ht="52.2" hidden="false" customHeight="false" outlineLevel="0" collapsed="false">
      <c r="A465" s="5" t="s">
        <v>824</v>
      </c>
      <c r="B465" s="5" t="s">
        <v>19</v>
      </c>
      <c r="C465" s="5" t="s">
        <v>822</v>
      </c>
      <c r="D465" s="5" t="s">
        <v>825</v>
      </c>
      <c r="E465" s="5" t="s">
        <v>46</v>
      </c>
      <c r="F465" s="5" t="n">
        <v>5</v>
      </c>
      <c r="G465" s="5" t="s">
        <v>402</v>
      </c>
      <c r="H465" s="5"/>
      <c r="I465" s="5" t="s">
        <v>727</v>
      </c>
    </row>
    <row r="466" customFormat="false" ht="52.2" hidden="false" customHeight="false" outlineLevel="0" collapsed="false">
      <c r="A466" s="5" t="s">
        <v>826</v>
      </c>
      <c r="B466" s="5" t="s">
        <v>19</v>
      </c>
      <c r="C466" s="5" t="s">
        <v>822</v>
      </c>
      <c r="D466" s="5" t="s">
        <v>827</v>
      </c>
      <c r="E466" s="5" t="s">
        <v>46</v>
      </c>
      <c r="F466" s="5" t="n">
        <v>5</v>
      </c>
      <c r="G466" s="5" t="s">
        <v>402</v>
      </c>
      <c r="H466" s="5"/>
      <c r="I466" s="5" t="s">
        <v>727</v>
      </c>
    </row>
    <row r="467" customFormat="false" ht="52.2" hidden="false" customHeight="false" outlineLevel="0" collapsed="false">
      <c r="A467" s="5" t="s">
        <v>828</v>
      </c>
      <c r="B467" s="5" t="s">
        <v>19</v>
      </c>
      <c r="C467" s="5" t="s">
        <v>822</v>
      </c>
      <c r="D467" s="5" t="s">
        <v>829</v>
      </c>
      <c r="E467" s="5" t="s">
        <v>46</v>
      </c>
      <c r="F467" s="5" t="n">
        <v>5</v>
      </c>
      <c r="G467" s="5" t="s">
        <v>402</v>
      </c>
      <c r="H467" s="5"/>
      <c r="I467" s="5" t="s">
        <v>727</v>
      </c>
    </row>
    <row r="468" customFormat="false" ht="52.2" hidden="false" customHeight="false" outlineLevel="0" collapsed="false">
      <c r="A468" s="5" t="s">
        <v>830</v>
      </c>
      <c r="B468" s="5" t="s">
        <v>19</v>
      </c>
      <c r="C468" s="5" t="s">
        <v>822</v>
      </c>
      <c r="D468" s="5" t="s">
        <v>831</v>
      </c>
      <c r="E468" s="5" t="s">
        <v>46</v>
      </c>
      <c r="F468" s="5" t="n">
        <v>5</v>
      </c>
      <c r="G468" s="5" t="s">
        <v>402</v>
      </c>
      <c r="H468" s="5"/>
      <c r="I468" s="5" t="s">
        <v>727</v>
      </c>
    </row>
    <row r="469" customFormat="false" ht="52.2" hidden="false" customHeight="false" outlineLevel="0" collapsed="false">
      <c r="A469" s="5" t="s">
        <v>832</v>
      </c>
      <c r="B469" s="5" t="s">
        <v>19</v>
      </c>
      <c r="C469" s="5" t="s">
        <v>822</v>
      </c>
      <c r="D469" s="5" t="s">
        <v>833</v>
      </c>
      <c r="E469" s="5" t="s">
        <v>46</v>
      </c>
      <c r="F469" s="5" t="n">
        <v>5</v>
      </c>
      <c r="G469" s="5" t="s">
        <v>402</v>
      </c>
      <c r="H469" s="5"/>
      <c r="I469" s="5" t="s">
        <v>727</v>
      </c>
    </row>
  </sheetData>
  <autoFilter ref="A1:I469"/>
  <conditionalFormatting sqref="E2:E469">
    <cfRule type="cellIs" priority="2" operator="equal" aboveAverage="0" equalAverage="0" bottom="0" percent="0" rank="0" text="" dxfId="5">
      <formula>"PASS"</formula>
    </cfRule>
    <cfRule type="cellIs" priority="3" operator="equal" aboveAverage="0" equalAverage="0" bottom="0" percent="0" rank="0" text="" dxfId="6">
      <formula>"FAIL"</formula>
    </cfRule>
    <cfRule type="cellIs" priority="4" operator="equal" aboveAverage="0" equalAverage="0" bottom="0" percent="0" rank="0" text="" dxfId="7">
      <formula>"Not run"</formula>
    </cfRule>
  </conditionalFormatting>
  <conditionalFormatting sqref="G2:G469">
    <cfRule type="cellIs" priority="5" operator="equal" aboveAverage="0" equalAverage="0" bottom="0" percent="0" rank="0" text="" dxfId="5">
      <formula>"PASS"</formula>
    </cfRule>
    <cfRule type="cellIs" priority="6" operator="equal" aboveAverage="0" equalAverage="0" bottom="0" percent="0" rank="0" text="" dxfId="6">
      <formula>"FAIL"</formula>
    </cfRule>
    <cfRule type="cellIs" priority="7" operator="equal" aboveAverage="0" equalAverage="0" bottom="0" percent="0" rank="0" text="" dxfId="7">
      <formula>"Not run"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29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8"/>
    <col collapsed="false" customWidth="true" hidden="false" outlineLevel="0" max="3" min="3" style="0" width="60"/>
    <col collapsed="false" customWidth="true" hidden="false" outlineLevel="0" max="4" min="4" style="0" width="30"/>
    <col collapsed="false" customWidth="true" hidden="false" outlineLevel="0" max="5" min="5" style="0" width="40"/>
    <col collapsed="false" customWidth="true" hidden="false" outlineLevel="0" max="6" min="6" style="0" width="9"/>
    <col collapsed="false" customWidth="true" hidden="false" outlineLevel="0" max="7" min="7" style="0" width="16"/>
    <col collapsed="false" customWidth="true" hidden="false" outlineLevel="0" max="8" min="8" style="0" width="44"/>
    <col collapsed="false" customWidth="true" hidden="false" outlineLevel="0" max="9" min="9" style="0" width="14"/>
  </cols>
  <sheetData>
    <row r="1" customFormat="false" ht="26.85" hidden="false" customHeight="false" outlineLevel="0" collapsed="false">
      <c r="A1" s="4" t="s">
        <v>834</v>
      </c>
      <c r="B1" s="4" t="s">
        <v>36</v>
      </c>
      <c r="C1" s="4" t="s">
        <v>835</v>
      </c>
      <c r="D1" s="4" t="s">
        <v>836</v>
      </c>
      <c r="E1" s="4" t="s">
        <v>837</v>
      </c>
      <c r="F1" s="4" t="s">
        <v>838</v>
      </c>
      <c r="G1" s="4" t="s">
        <v>839</v>
      </c>
      <c r="H1" s="4" t="s">
        <v>840</v>
      </c>
      <c r="I1" s="4" t="s">
        <v>841</v>
      </c>
    </row>
    <row r="2" customFormat="false" ht="39.55" hidden="false" customHeight="false" outlineLevel="0" collapsed="false">
      <c r="A2" s="5" t="s">
        <v>842</v>
      </c>
      <c r="B2" s="5" t="s">
        <v>843</v>
      </c>
      <c r="C2" s="5" t="s">
        <v>844</v>
      </c>
      <c r="D2" s="5" t="s">
        <v>845</v>
      </c>
      <c r="E2" s="5" t="s">
        <v>846</v>
      </c>
      <c r="F2" s="5" t="s">
        <v>46</v>
      </c>
      <c r="G2" s="5" t="s">
        <v>847</v>
      </c>
      <c r="H2" s="5"/>
      <c r="I2" s="5" t="s">
        <v>46</v>
      </c>
    </row>
    <row r="3" customFormat="false" ht="15" hidden="false" customHeight="false" outlineLevel="0" collapsed="false">
      <c r="A3" s="5" t="s">
        <v>848</v>
      </c>
      <c r="B3" s="5" t="s">
        <v>843</v>
      </c>
      <c r="C3" s="5" t="s">
        <v>849</v>
      </c>
      <c r="D3" s="5" t="s">
        <v>850</v>
      </c>
      <c r="E3" s="5" t="s">
        <v>851</v>
      </c>
      <c r="F3" s="5" t="s">
        <v>46</v>
      </c>
      <c r="G3" s="5" t="s">
        <v>847</v>
      </c>
      <c r="H3" s="5"/>
      <c r="I3" s="5" t="s">
        <v>46</v>
      </c>
    </row>
    <row r="4" customFormat="false" ht="26.85" hidden="false" customHeight="false" outlineLevel="0" collapsed="false">
      <c r="A4" s="5" t="s">
        <v>852</v>
      </c>
      <c r="B4" s="5" t="s">
        <v>843</v>
      </c>
      <c r="C4" s="5" t="s">
        <v>853</v>
      </c>
      <c r="D4" s="5" t="s">
        <v>854</v>
      </c>
      <c r="E4" s="5" t="s">
        <v>855</v>
      </c>
      <c r="F4" s="5" t="s">
        <v>46</v>
      </c>
      <c r="G4" s="5" t="s">
        <v>847</v>
      </c>
      <c r="H4" s="5"/>
      <c r="I4" s="5" t="s">
        <v>46</v>
      </c>
    </row>
    <row r="5" customFormat="false" ht="15" hidden="false" customHeight="false" outlineLevel="0" collapsed="false">
      <c r="A5" s="5" t="s">
        <v>856</v>
      </c>
      <c r="B5" s="5" t="s">
        <v>843</v>
      </c>
      <c r="C5" s="5" t="s">
        <v>857</v>
      </c>
      <c r="D5" s="5" t="s">
        <v>858</v>
      </c>
      <c r="E5" s="5" t="s">
        <v>859</v>
      </c>
      <c r="F5" s="5" t="s">
        <v>46</v>
      </c>
      <c r="G5" s="5" t="s">
        <v>847</v>
      </c>
      <c r="H5" s="5"/>
      <c r="I5" s="5" t="s">
        <v>46</v>
      </c>
    </row>
    <row r="6" customFormat="false" ht="15" hidden="false" customHeight="false" outlineLevel="0" collapsed="false">
      <c r="A6" s="5" t="s">
        <v>860</v>
      </c>
      <c r="B6" s="5" t="s">
        <v>843</v>
      </c>
      <c r="C6" s="5" t="s">
        <v>861</v>
      </c>
      <c r="D6" s="5" t="s">
        <v>862</v>
      </c>
      <c r="E6" s="5" t="s">
        <v>863</v>
      </c>
      <c r="F6" s="5" t="s">
        <v>46</v>
      </c>
      <c r="G6" s="5" t="s">
        <v>847</v>
      </c>
      <c r="H6" s="5"/>
      <c r="I6" s="5" t="s">
        <v>46</v>
      </c>
    </row>
    <row r="7" customFormat="false" ht="26.85" hidden="false" customHeight="false" outlineLevel="0" collapsed="false">
      <c r="A7" s="5" t="s">
        <v>864</v>
      </c>
      <c r="B7" s="5" t="s">
        <v>843</v>
      </c>
      <c r="C7" s="5" t="s">
        <v>865</v>
      </c>
      <c r="D7" s="5" t="s">
        <v>866</v>
      </c>
      <c r="E7" s="5" t="s">
        <v>867</v>
      </c>
      <c r="F7" s="5" t="s">
        <v>46</v>
      </c>
      <c r="G7" s="5" t="s">
        <v>847</v>
      </c>
      <c r="H7" s="5"/>
      <c r="I7" s="5" t="s">
        <v>46</v>
      </c>
    </row>
    <row r="8" customFormat="false" ht="15" hidden="false" customHeight="false" outlineLevel="0" collapsed="false">
      <c r="A8" s="5" t="s">
        <v>868</v>
      </c>
      <c r="B8" s="5" t="s">
        <v>869</v>
      </c>
      <c r="C8" s="5" t="s">
        <v>870</v>
      </c>
      <c r="D8" s="5" t="s">
        <v>871</v>
      </c>
      <c r="E8" s="5" t="s">
        <v>872</v>
      </c>
      <c r="F8" s="5" t="s">
        <v>46</v>
      </c>
      <c r="G8" s="5" t="s">
        <v>847</v>
      </c>
      <c r="H8" s="5"/>
      <c r="I8" s="5" t="s">
        <v>46</v>
      </c>
    </row>
    <row r="9" customFormat="false" ht="26.85" hidden="false" customHeight="false" outlineLevel="0" collapsed="false">
      <c r="A9" s="5" t="s">
        <v>873</v>
      </c>
      <c r="B9" s="5" t="s">
        <v>869</v>
      </c>
      <c r="C9" s="5" t="s">
        <v>874</v>
      </c>
      <c r="D9" s="5" t="s">
        <v>875</v>
      </c>
      <c r="E9" s="5" t="s">
        <v>876</v>
      </c>
      <c r="F9" s="5" t="s">
        <v>46</v>
      </c>
      <c r="G9" s="5" t="s">
        <v>847</v>
      </c>
      <c r="H9" s="5"/>
      <c r="I9" s="5" t="s">
        <v>46</v>
      </c>
    </row>
    <row r="10" customFormat="false" ht="39.55" hidden="false" customHeight="false" outlineLevel="0" collapsed="false">
      <c r="A10" s="5" t="s">
        <v>877</v>
      </c>
      <c r="B10" s="5" t="s">
        <v>869</v>
      </c>
      <c r="C10" s="5" t="s">
        <v>878</v>
      </c>
      <c r="D10" s="5" t="s">
        <v>879</v>
      </c>
      <c r="E10" s="5" t="s">
        <v>880</v>
      </c>
      <c r="F10" s="5" t="s">
        <v>881</v>
      </c>
      <c r="G10" s="5" t="s">
        <v>847</v>
      </c>
      <c r="H10" s="5" t="s">
        <v>882</v>
      </c>
      <c r="I10" s="5" t="s">
        <v>883</v>
      </c>
    </row>
    <row r="11" customFormat="false" ht="26.85" hidden="false" customHeight="false" outlineLevel="0" collapsed="false">
      <c r="A11" s="5" t="s">
        <v>884</v>
      </c>
      <c r="B11" s="5" t="s">
        <v>869</v>
      </c>
      <c r="C11" s="5" t="s">
        <v>885</v>
      </c>
      <c r="D11" s="5" t="s">
        <v>886</v>
      </c>
      <c r="E11" s="5" t="s">
        <v>887</v>
      </c>
      <c r="F11" s="5" t="s">
        <v>881</v>
      </c>
      <c r="G11" s="5" t="s">
        <v>847</v>
      </c>
      <c r="H11" s="5" t="s">
        <v>888</v>
      </c>
      <c r="I11" s="5" t="s">
        <v>889</v>
      </c>
    </row>
    <row r="12" customFormat="false" ht="26.85" hidden="false" customHeight="false" outlineLevel="0" collapsed="false">
      <c r="A12" s="5" t="s">
        <v>890</v>
      </c>
      <c r="B12" s="5" t="s">
        <v>869</v>
      </c>
      <c r="C12" s="5" t="s">
        <v>891</v>
      </c>
      <c r="D12" s="5" t="s">
        <v>892</v>
      </c>
      <c r="E12" s="5" t="s">
        <v>893</v>
      </c>
      <c r="F12" s="5" t="s">
        <v>46</v>
      </c>
      <c r="G12" s="5" t="s">
        <v>847</v>
      </c>
      <c r="H12" s="5"/>
      <c r="I12" s="5" t="s">
        <v>46</v>
      </c>
    </row>
    <row r="13" customFormat="false" ht="39.55" hidden="false" customHeight="false" outlineLevel="0" collapsed="false">
      <c r="A13" s="5" t="s">
        <v>894</v>
      </c>
      <c r="B13" s="5" t="s">
        <v>869</v>
      </c>
      <c r="C13" s="5" t="s">
        <v>895</v>
      </c>
      <c r="D13" s="5" t="s">
        <v>896</v>
      </c>
      <c r="E13" s="5" t="s">
        <v>897</v>
      </c>
      <c r="F13" s="5" t="s">
        <v>46</v>
      </c>
      <c r="G13" s="5" t="s">
        <v>847</v>
      </c>
      <c r="H13" s="5"/>
      <c r="I13" s="5" t="s">
        <v>46</v>
      </c>
    </row>
    <row r="14" customFormat="false" ht="39.55" hidden="false" customHeight="false" outlineLevel="0" collapsed="false">
      <c r="A14" s="5" t="s">
        <v>898</v>
      </c>
      <c r="B14" s="5" t="s">
        <v>869</v>
      </c>
      <c r="C14" s="5" t="s">
        <v>899</v>
      </c>
      <c r="D14" s="5" t="s">
        <v>896</v>
      </c>
      <c r="E14" s="5" t="s">
        <v>897</v>
      </c>
      <c r="F14" s="5" t="s">
        <v>46</v>
      </c>
      <c r="G14" s="5" t="s">
        <v>847</v>
      </c>
      <c r="H14" s="5"/>
      <c r="I14" s="5" t="s">
        <v>46</v>
      </c>
    </row>
    <row r="15" customFormat="false" ht="39.55" hidden="false" customHeight="false" outlineLevel="0" collapsed="false">
      <c r="A15" s="5" t="s">
        <v>900</v>
      </c>
      <c r="B15" s="5" t="s">
        <v>869</v>
      </c>
      <c r="C15" s="5" t="s">
        <v>901</v>
      </c>
      <c r="D15" s="5" t="s">
        <v>902</v>
      </c>
      <c r="E15" s="5" t="s">
        <v>903</v>
      </c>
      <c r="F15" s="5" t="s">
        <v>46</v>
      </c>
      <c r="G15" s="5" t="s">
        <v>847</v>
      </c>
      <c r="H15" s="5"/>
      <c r="I15" s="5" t="s">
        <v>46</v>
      </c>
    </row>
    <row r="16" customFormat="false" ht="39.55" hidden="false" customHeight="false" outlineLevel="0" collapsed="false">
      <c r="A16" s="5" t="s">
        <v>904</v>
      </c>
      <c r="B16" s="5" t="s">
        <v>869</v>
      </c>
      <c r="C16" s="5" t="s">
        <v>905</v>
      </c>
      <c r="D16" s="5" t="s">
        <v>906</v>
      </c>
      <c r="E16" s="5" t="s">
        <v>907</v>
      </c>
      <c r="F16" s="5" t="s">
        <v>881</v>
      </c>
      <c r="G16" s="5" t="s">
        <v>847</v>
      </c>
      <c r="H16" s="5" t="s">
        <v>908</v>
      </c>
      <c r="I16" s="5" t="s">
        <v>883</v>
      </c>
    </row>
    <row r="17" customFormat="false" ht="39.55" hidden="false" customHeight="false" outlineLevel="0" collapsed="false">
      <c r="A17" s="5" t="s">
        <v>909</v>
      </c>
      <c r="B17" s="5" t="s">
        <v>869</v>
      </c>
      <c r="C17" s="5" t="s">
        <v>910</v>
      </c>
      <c r="D17" s="5" t="s">
        <v>911</v>
      </c>
      <c r="E17" s="5" t="s">
        <v>897</v>
      </c>
      <c r="F17" s="5" t="s">
        <v>881</v>
      </c>
      <c r="G17" s="5" t="s">
        <v>847</v>
      </c>
      <c r="H17" s="5" t="s">
        <v>912</v>
      </c>
      <c r="I17" s="5" t="s">
        <v>883</v>
      </c>
    </row>
    <row r="18" customFormat="false" ht="39.55" hidden="false" customHeight="false" outlineLevel="0" collapsed="false">
      <c r="A18" s="5" t="s">
        <v>913</v>
      </c>
      <c r="B18" s="5" t="s">
        <v>914</v>
      </c>
      <c r="C18" s="5" t="s">
        <v>915</v>
      </c>
      <c r="D18" s="5" t="s">
        <v>916</v>
      </c>
      <c r="E18" s="5" t="s">
        <v>917</v>
      </c>
      <c r="F18" s="5" t="s">
        <v>46</v>
      </c>
      <c r="G18" s="5" t="s">
        <v>847</v>
      </c>
      <c r="H18" s="5"/>
      <c r="I18" s="5" t="s">
        <v>46</v>
      </c>
    </row>
    <row r="19" customFormat="false" ht="26.85" hidden="false" customHeight="false" outlineLevel="0" collapsed="false">
      <c r="A19" s="5" t="s">
        <v>918</v>
      </c>
      <c r="B19" s="5" t="s">
        <v>914</v>
      </c>
      <c r="C19" s="5" t="s">
        <v>919</v>
      </c>
      <c r="D19" s="5" t="s">
        <v>920</v>
      </c>
      <c r="E19" s="5" t="s">
        <v>921</v>
      </c>
      <c r="F19" s="5" t="s">
        <v>46</v>
      </c>
      <c r="G19" s="5" t="s">
        <v>847</v>
      </c>
      <c r="H19" s="5"/>
      <c r="I19" s="5" t="s">
        <v>46</v>
      </c>
    </row>
    <row r="20" customFormat="false" ht="52.2" hidden="false" customHeight="false" outlineLevel="0" collapsed="false">
      <c r="A20" s="5" t="s">
        <v>922</v>
      </c>
      <c r="B20" s="5" t="s">
        <v>914</v>
      </c>
      <c r="C20" s="5" t="s">
        <v>923</v>
      </c>
      <c r="D20" s="5" t="s">
        <v>924</v>
      </c>
      <c r="E20" s="5" t="s">
        <v>925</v>
      </c>
      <c r="F20" s="5" t="s">
        <v>46</v>
      </c>
      <c r="G20" s="5" t="s">
        <v>847</v>
      </c>
      <c r="H20" s="5"/>
      <c r="I20" s="5" t="s">
        <v>46</v>
      </c>
    </row>
    <row r="21" customFormat="false" ht="26.85" hidden="false" customHeight="false" outlineLevel="0" collapsed="false">
      <c r="A21" s="5" t="s">
        <v>926</v>
      </c>
      <c r="B21" s="5" t="s">
        <v>914</v>
      </c>
      <c r="C21" s="5" t="s">
        <v>927</v>
      </c>
      <c r="D21" s="5" t="s">
        <v>920</v>
      </c>
      <c r="E21" s="5" t="s">
        <v>921</v>
      </c>
      <c r="F21" s="5" t="s">
        <v>46</v>
      </c>
      <c r="G21" s="5" t="s">
        <v>847</v>
      </c>
      <c r="H21" s="5"/>
      <c r="I21" s="5" t="s">
        <v>46</v>
      </c>
    </row>
    <row r="22" customFormat="false" ht="52.2" hidden="false" customHeight="false" outlineLevel="0" collapsed="false">
      <c r="A22" s="5" t="s">
        <v>928</v>
      </c>
      <c r="B22" s="5" t="s">
        <v>914</v>
      </c>
      <c r="C22" s="5" t="s">
        <v>929</v>
      </c>
      <c r="D22" s="5" t="s">
        <v>930</v>
      </c>
      <c r="E22" s="5" t="s">
        <v>931</v>
      </c>
      <c r="F22" s="5" t="s">
        <v>46</v>
      </c>
      <c r="G22" s="5" t="s">
        <v>847</v>
      </c>
      <c r="H22" s="5"/>
      <c r="I22" s="5" t="s">
        <v>46</v>
      </c>
    </row>
    <row r="23" customFormat="false" ht="15" hidden="false" customHeight="false" outlineLevel="0" collapsed="false">
      <c r="A23" s="5" t="s">
        <v>932</v>
      </c>
      <c r="B23" s="5" t="s">
        <v>914</v>
      </c>
      <c r="C23" s="5" t="s">
        <v>933</v>
      </c>
      <c r="D23" s="5" t="s">
        <v>920</v>
      </c>
      <c r="E23" s="5" t="s">
        <v>934</v>
      </c>
      <c r="F23" s="5" t="s">
        <v>46</v>
      </c>
      <c r="G23" s="5" t="s">
        <v>847</v>
      </c>
      <c r="H23" s="5"/>
      <c r="I23" s="5" t="s">
        <v>46</v>
      </c>
    </row>
    <row r="24" customFormat="false" ht="26.85" hidden="false" customHeight="false" outlineLevel="0" collapsed="false">
      <c r="A24" s="5" t="s">
        <v>935</v>
      </c>
      <c r="B24" s="5" t="s">
        <v>914</v>
      </c>
      <c r="C24" s="5" t="s">
        <v>936</v>
      </c>
      <c r="D24" s="5" t="s">
        <v>920</v>
      </c>
      <c r="E24" s="5" t="s">
        <v>937</v>
      </c>
      <c r="F24" s="5" t="s">
        <v>46</v>
      </c>
      <c r="G24" s="5" t="s">
        <v>847</v>
      </c>
      <c r="H24" s="5"/>
      <c r="I24" s="5" t="s">
        <v>46</v>
      </c>
    </row>
    <row r="25" customFormat="false" ht="15" hidden="false" customHeight="false" outlineLevel="0" collapsed="false">
      <c r="A25" s="5" t="s">
        <v>938</v>
      </c>
      <c r="B25" s="5" t="s">
        <v>914</v>
      </c>
      <c r="C25" s="5" t="s">
        <v>939</v>
      </c>
      <c r="D25" s="5" t="s">
        <v>940</v>
      </c>
      <c r="E25" s="5" t="s">
        <v>941</v>
      </c>
      <c r="F25" s="5" t="s">
        <v>46</v>
      </c>
      <c r="G25" s="5" t="s">
        <v>847</v>
      </c>
      <c r="H25" s="5"/>
      <c r="I25" s="5" t="s">
        <v>46</v>
      </c>
    </row>
    <row r="26" customFormat="false" ht="15" hidden="false" customHeight="false" outlineLevel="0" collapsed="false">
      <c r="A26" s="5" t="s">
        <v>942</v>
      </c>
      <c r="B26" s="5" t="s">
        <v>943</v>
      </c>
      <c r="C26" s="5" t="s">
        <v>944</v>
      </c>
      <c r="D26" s="5" t="s">
        <v>945</v>
      </c>
      <c r="E26" s="5" t="s">
        <v>946</v>
      </c>
      <c r="F26" s="5" t="s">
        <v>46</v>
      </c>
      <c r="G26" s="5" t="s">
        <v>847</v>
      </c>
      <c r="H26" s="5"/>
      <c r="I26" s="5" t="s">
        <v>46</v>
      </c>
    </row>
    <row r="27" customFormat="false" ht="15" hidden="false" customHeight="false" outlineLevel="0" collapsed="false">
      <c r="A27" s="5" t="s">
        <v>947</v>
      </c>
      <c r="B27" s="5" t="s">
        <v>943</v>
      </c>
      <c r="C27" s="5" t="s">
        <v>948</v>
      </c>
      <c r="D27" s="5" t="s">
        <v>949</v>
      </c>
      <c r="E27" s="5" t="s">
        <v>950</v>
      </c>
      <c r="F27" s="5" t="s">
        <v>46</v>
      </c>
      <c r="G27" s="5" t="s">
        <v>847</v>
      </c>
      <c r="H27" s="5"/>
      <c r="I27" s="5" t="s">
        <v>46</v>
      </c>
    </row>
    <row r="28" customFormat="false" ht="15" hidden="false" customHeight="false" outlineLevel="0" collapsed="false">
      <c r="A28" s="5" t="s">
        <v>951</v>
      </c>
      <c r="B28" s="5" t="s">
        <v>943</v>
      </c>
      <c r="C28" s="5" t="s">
        <v>952</v>
      </c>
      <c r="D28" s="5" t="s">
        <v>953</v>
      </c>
      <c r="E28" s="5" t="s">
        <v>954</v>
      </c>
      <c r="F28" s="5" t="s">
        <v>46</v>
      </c>
      <c r="G28" s="5" t="s">
        <v>847</v>
      </c>
      <c r="H28" s="5"/>
      <c r="I28" s="5" t="s">
        <v>46</v>
      </c>
    </row>
    <row r="29" customFormat="false" ht="15" hidden="false" customHeight="false" outlineLevel="0" collapsed="false">
      <c r="A29" s="5" t="s">
        <v>955</v>
      </c>
      <c r="B29" s="5" t="s">
        <v>943</v>
      </c>
      <c r="C29" s="5" t="s">
        <v>956</v>
      </c>
      <c r="D29" s="5" t="s">
        <v>945</v>
      </c>
      <c r="E29" s="5" t="s">
        <v>957</v>
      </c>
      <c r="F29" s="5" t="s">
        <v>46</v>
      </c>
      <c r="G29" s="5" t="s">
        <v>847</v>
      </c>
      <c r="H29" s="5"/>
      <c r="I29" s="5" t="s">
        <v>46</v>
      </c>
    </row>
    <row r="30" customFormat="false" ht="15" hidden="false" customHeight="false" outlineLevel="0" collapsed="false">
      <c r="A30" s="5" t="s">
        <v>958</v>
      </c>
      <c r="B30" s="5" t="s">
        <v>943</v>
      </c>
      <c r="C30" s="5" t="s">
        <v>959</v>
      </c>
      <c r="D30" s="5" t="s">
        <v>960</v>
      </c>
      <c r="E30" s="5" t="s">
        <v>961</v>
      </c>
      <c r="F30" s="5" t="s">
        <v>46</v>
      </c>
      <c r="G30" s="5" t="s">
        <v>847</v>
      </c>
      <c r="H30" s="5"/>
      <c r="I30" s="5" t="s">
        <v>46</v>
      </c>
    </row>
    <row r="31" customFormat="false" ht="15" hidden="false" customHeight="false" outlineLevel="0" collapsed="false">
      <c r="A31" s="5" t="s">
        <v>962</v>
      </c>
      <c r="B31" s="5" t="s">
        <v>943</v>
      </c>
      <c r="C31" s="5" t="s">
        <v>963</v>
      </c>
      <c r="D31" s="5" t="s">
        <v>945</v>
      </c>
      <c r="E31" s="5" t="s">
        <v>964</v>
      </c>
      <c r="F31" s="5" t="s">
        <v>46</v>
      </c>
      <c r="G31" s="5" t="s">
        <v>847</v>
      </c>
      <c r="H31" s="5"/>
      <c r="I31" s="5" t="s">
        <v>46</v>
      </c>
    </row>
    <row r="32" customFormat="false" ht="26.85" hidden="false" customHeight="false" outlineLevel="0" collapsed="false">
      <c r="A32" s="5" t="s">
        <v>965</v>
      </c>
      <c r="B32" s="5" t="s">
        <v>966</v>
      </c>
      <c r="C32" s="5" t="s">
        <v>967</v>
      </c>
      <c r="D32" s="5" t="s">
        <v>968</v>
      </c>
      <c r="E32" s="5" t="s">
        <v>969</v>
      </c>
      <c r="F32" s="5" t="s">
        <v>46</v>
      </c>
      <c r="G32" s="5" t="s">
        <v>847</v>
      </c>
      <c r="H32" s="5"/>
      <c r="I32" s="5" t="s">
        <v>46</v>
      </c>
    </row>
    <row r="33" customFormat="false" ht="26.85" hidden="false" customHeight="false" outlineLevel="0" collapsed="false">
      <c r="A33" s="5" t="s">
        <v>970</v>
      </c>
      <c r="B33" s="5" t="s">
        <v>966</v>
      </c>
      <c r="C33" s="5" t="s">
        <v>971</v>
      </c>
      <c r="D33" s="5" t="s">
        <v>972</v>
      </c>
      <c r="E33" s="5" t="s">
        <v>973</v>
      </c>
      <c r="F33" s="5" t="s">
        <v>46</v>
      </c>
      <c r="G33" s="5" t="s">
        <v>847</v>
      </c>
      <c r="H33" s="5"/>
      <c r="I33" s="5" t="s">
        <v>46</v>
      </c>
    </row>
    <row r="34" customFormat="false" ht="26.85" hidden="false" customHeight="false" outlineLevel="0" collapsed="false">
      <c r="A34" s="5" t="s">
        <v>974</v>
      </c>
      <c r="B34" s="5" t="s">
        <v>943</v>
      </c>
      <c r="C34" s="5" t="s">
        <v>975</v>
      </c>
      <c r="D34" s="5" t="s">
        <v>976</v>
      </c>
      <c r="E34" s="5" t="s">
        <v>977</v>
      </c>
      <c r="F34" s="5" t="s">
        <v>46</v>
      </c>
      <c r="G34" s="5" t="s">
        <v>847</v>
      </c>
      <c r="H34" s="5"/>
      <c r="I34" s="5" t="s">
        <v>46</v>
      </c>
    </row>
    <row r="35" customFormat="false" ht="52.2" hidden="false" customHeight="false" outlineLevel="0" collapsed="false">
      <c r="A35" s="5" t="s">
        <v>978</v>
      </c>
      <c r="B35" s="5" t="s">
        <v>979</v>
      </c>
      <c r="C35" s="5" t="s">
        <v>980</v>
      </c>
      <c r="D35" s="5" t="s">
        <v>981</v>
      </c>
      <c r="E35" s="5" t="s">
        <v>982</v>
      </c>
      <c r="F35" s="5" t="s">
        <v>46</v>
      </c>
      <c r="G35" s="5" t="s">
        <v>847</v>
      </c>
      <c r="H35" s="5"/>
      <c r="I35" s="5" t="s">
        <v>46</v>
      </c>
    </row>
    <row r="36" customFormat="false" ht="52.2" hidden="false" customHeight="false" outlineLevel="0" collapsed="false">
      <c r="A36" s="5" t="s">
        <v>983</v>
      </c>
      <c r="B36" s="5" t="s">
        <v>979</v>
      </c>
      <c r="C36" s="5" t="s">
        <v>984</v>
      </c>
      <c r="D36" s="5" t="s">
        <v>981</v>
      </c>
      <c r="E36" s="5" t="s">
        <v>982</v>
      </c>
      <c r="F36" s="5" t="s">
        <v>46</v>
      </c>
      <c r="G36" s="5" t="s">
        <v>847</v>
      </c>
      <c r="H36" s="5"/>
      <c r="I36" s="5" t="s">
        <v>46</v>
      </c>
    </row>
    <row r="37" customFormat="false" ht="52.2" hidden="false" customHeight="false" outlineLevel="0" collapsed="false">
      <c r="A37" s="5" t="s">
        <v>985</v>
      </c>
      <c r="B37" s="5" t="s">
        <v>979</v>
      </c>
      <c r="C37" s="5" t="s">
        <v>986</v>
      </c>
      <c r="D37" s="5" t="s">
        <v>981</v>
      </c>
      <c r="E37" s="5" t="s">
        <v>982</v>
      </c>
      <c r="F37" s="5" t="s">
        <v>46</v>
      </c>
      <c r="G37" s="5" t="s">
        <v>847</v>
      </c>
      <c r="H37" s="5"/>
      <c r="I37" s="5" t="s">
        <v>46</v>
      </c>
    </row>
    <row r="38" customFormat="false" ht="39.55" hidden="false" customHeight="false" outlineLevel="0" collapsed="false">
      <c r="A38" s="5" t="s">
        <v>987</v>
      </c>
      <c r="B38" s="5" t="s">
        <v>979</v>
      </c>
      <c r="C38" s="5" t="s">
        <v>988</v>
      </c>
      <c r="D38" s="5" t="s">
        <v>989</v>
      </c>
      <c r="E38" s="5" t="s">
        <v>990</v>
      </c>
      <c r="F38" s="5" t="s">
        <v>46</v>
      </c>
      <c r="G38" s="5" t="s">
        <v>847</v>
      </c>
      <c r="H38" s="5"/>
      <c r="I38" s="5" t="s">
        <v>46</v>
      </c>
    </row>
    <row r="39" customFormat="false" ht="39.55" hidden="false" customHeight="false" outlineLevel="0" collapsed="false">
      <c r="A39" s="5" t="s">
        <v>991</v>
      </c>
      <c r="B39" s="5" t="s">
        <v>979</v>
      </c>
      <c r="C39" s="5" t="s">
        <v>992</v>
      </c>
      <c r="D39" s="5" t="s">
        <v>989</v>
      </c>
      <c r="E39" s="5" t="s">
        <v>990</v>
      </c>
      <c r="F39" s="5" t="s">
        <v>46</v>
      </c>
      <c r="G39" s="5" t="s">
        <v>847</v>
      </c>
      <c r="H39" s="5"/>
      <c r="I39" s="5" t="s">
        <v>46</v>
      </c>
    </row>
    <row r="40" customFormat="false" ht="39.55" hidden="false" customHeight="false" outlineLevel="0" collapsed="false">
      <c r="A40" s="5" t="s">
        <v>993</v>
      </c>
      <c r="B40" s="5" t="s">
        <v>979</v>
      </c>
      <c r="C40" s="5" t="s">
        <v>994</v>
      </c>
      <c r="D40" s="5" t="s">
        <v>989</v>
      </c>
      <c r="E40" s="5" t="s">
        <v>990</v>
      </c>
      <c r="F40" s="5" t="s">
        <v>46</v>
      </c>
      <c r="G40" s="5" t="s">
        <v>847</v>
      </c>
      <c r="H40" s="5"/>
      <c r="I40" s="5" t="s">
        <v>46</v>
      </c>
    </row>
    <row r="41" customFormat="false" ht="15" hidden="false" customHeight="false" outlineLevel="0" collapsed="false">
      <c r="A41" s="5" t="s">
        <v>995</v>
      </c>
      <c r="B41" s="5" t="s">
        <v>996</v>
      </c>
      <c r="C41" s="5" t="s">
        <v>997</v>
      </c>
      <c r="D41" s="5" t="s">
        <v>911</v>
      </c>
      <c r="E41" s="5" t="s">
        <v>911</v>
      </c>
      <c r="F41" s="5" t="s">
        <v>46</v>
      </c>
      <c r="G41" s="5" t="s">
        <v>847</v>
      </c>
      <c r="H41" s="5"/>
      <c r="I41" s="5" t="s">
        <v>46</v>
      </c>
    </row>
    <row r="42" customFormat="false" ht="15" hidden="false" customHeight="false" outlineLevel="0" collapsed="false">
      <c r="A42" s="5" t="s">
        <v>998</v>
      </c>
      <c r="B42" s="5" t="s">
        <v>996</v>
      </c>
      <c r="C42" s="5" t="s">
        <v>999</v>
      </c>
      <c r="D42" s="5" t="s">
        <v>911</v>
      </c>
      <c r="E42" s="5" t="s">
        <v>911</v>
      </c>
      <c r="F42" s="5" t="s">
        <v>46</v>
      </c>
      <c r="G42" s="5" t="s">
        <v>847</v>
      </c>
      <c r="H42" s="5"/>
      <c r="I42" s="5" t="s">
        <v>46</v>
      </c>
    </row>
    <row r="43" customFormat="false" ht="26.85" hidden="false" customHeight="false" outlineLevel="0" collapsed="false">
      <c r="A43" s="5" t="s">
        <v>1000</v>
      </c>
      <c r="B43" s="5" t="s">
        <v>996</v>
      </c>
      <c r="C43" s="5" t="s">
        <v>1001</v>
      </c>
      <c r="D43" s="5" t="s">
        <v>1002</v>
      </c>
      <c r="E43" s="5" t="s">
        <v>1003</v>
      </c>
      <c r="F43" s="5" t="s">
        <v>46</v>
      </c>
      <c r="G43" s="5" t="s">
        <v>847</v>
      </c>
      <c r="H43" s="5"/>
      <c r="I43" s="5" t="s">
        <v>46</v>
      </c>
    </row>
    <row r="44" customFormat="false" ht="26.85" hidden="false" customHeight="false" outlineLevel="0" collapsed="false">
      <c r="A44" s="5" t="s">
        <v>1004</v>
      </c>
      <c r="B44" s="5" t="s">
        <v>996</v>
      </c>
      <c r="C44" s="5" t="s">
        <v>1005</v>
      </c>
      <c r="D44" s="5" t="s">
        <v>1006</v>
      </c>
      <c r="E44" s="5" t="s">
        <v>1007</v>
      </c>
      <c r="F44" s="5" t="s">
        <v>46</v>
      </c>
      <c r="G44" s="5" t="s">
        <v>847</v>
      </c>
      <c r="H44" s="5"/>
      <c r="I44" s="5" t="s">
        <v>46</v>
      </c>
    </row>
    <row r="45" customFormat="false" ht="15" hidden="false" customHeight="false" outlineLevel="0" collapsed="false">
      <c r="A45" s="5" t="s">
        <v>1008</v>
      </c>
      <c r="B45" s="5" t="s">
        <v>996</v>
      </c>
      <c r="C45" s="5" t="s">
        <v>1009</v>
      </c>
      <c r="D45" s="5" t="s">
        <v>1010</v>
      </c>
      <c r="E45" s="5" t="s">
        <v>1007</v>
      </c>
      <c r="F45" s="5" t="s">
        <v>46</v>
      </c>
      <c r="G45" s="5" t="s">
        <v>847</v>
      </c>
      <c r="H45" s="5"/>
      <c r="I45" s="5" t="s">
        <v>46</v>
      </c>
    </row>
    <row r="46" customFormat="false" ht="26.85" hidden="false" customHeight="false" outlineLevel="0" collapsed="false">
      <c r="A46" s="5" t="s">
        <v>1011</v>
      </c>
      <c r="B46" s="5" t="s">
        <v>996</v>
      </c>
      <c r="C46" s="5" t="s">
        <v>1012</v>
      </c>
      <c r="D46" s="5" t="s">
        <v>1013</v>
      </c>
      <c r="E46" s="5" t="s">
        <v>1014</v>
      </c>
      <c r="F46" s="5" t="s">
        <v>46</v>
      </c>
      <c r="G46" s="5" t="s">
        <v>847</v>
      </c>
      <c r="H46" s="5"/>
      <c r="I46" s="5" t="s">
        <v>46</v>
      </c>
    </row>
    <row r="47" customFormat="false" ht="26.85" hidden="false" customHeight="false" outlineLevel="0" collapsed="false">
      <c r="A47" s="5" t="s">
        <v>1015</v>
      </c>
      <c r="B47" s="5" t="s">
        <v>996</v>
      </c>
      <c r="C47" s="5" t="s">
        <v>1016</v>
      </c>
      <c r="D47" s="5" t="s">
        <v>1017</v>
      </c>
      <c r="E47" s="5" t="s">
        <v>1018</v>
      </c>
      <c r="F47" s="5" t="s">
        <v>46</v>
      </c>
      <c r="G47" s="5" t="s">
        <v>847</v>
      </c>
      <c r="H47" s="5"/>
      <c r="I47" s="5" t="s">
        <v>46</v>
      </c>
    </row>
    <row r="48" customFormat="false" ht="52.2" hidden="false" customHeight="false" outlineLevel="0" collapsed="false">
      <c r="A48" s="5" t="s">
        <v>1019</v>
      </c>
      <c r="B48" s="5" t="s">
        <v>1020</v>
      </c>
      <c r="C48" s="5" t="s">
        <v>1021</v>
      </c>
      <c r="D48" s="5" t="s">
        <v>981</v>
      </c>
      <c r="E48" s="5" t="s">
        <v>1022</v>
      </c>
      <c r="F48" s="5" t="s">
        <v>46</v>
      </c>
      <c r="G48" s="5" t="s">
        <v>847</v>
      </c>
      <c r="H48" s="5"/>
      <c r="I48" s="5" t="s">
        <v>46</v>
      </c>
    </row>
    <row r="49" customFormat="false" ht="26.85" hidden="false" customHeight="false" outlineLevel="0" collapsed="false">
      <c r="A49" s="5" t="s">
        <v>1023</v>
      </c>
      <c r="B49" s="5" t="s">
        <v>1020</v>
      </c>
      <c r="C49" s="5" t="s">
        <v>1024</v>
      </c>
      <c r="D49" s="5" t="s">
        <v>989</v>
      </c>
      <c r="E49" s="5" t="s">
        <v>1025</v>
      </c>
      <c r="F49" s="5" t="s">
        <v>46</v>
      </c>
      <c r="G49" s="5" t="s">
        <v>847</v>
      </c>
      <c r="H49" s="5"/>
      <c r="I49" s="5" t="s">
        <v>46</v>
      </c>
    </row>
    <row r="50" customFormat="false" ht="39.55" hidden="false" customHeight="false" outlineLevel="0" collapsed="false">
      <c r="A50" s="5" t="s">
        <v>1026</v>
      </c>
      <c r="B50" s="5" t="s">
        <v>1020</v>
      </c>
      <c r="C50" s="5" t="s">
        <v>1027</v>
      </c>
      <c r="D50" s="5" t="s">
        <v>989</v>
      </c>
      <c r="E50" s="5" t="s">
        <v>1028</v>
      </c>
      <c r="F50" s="5" t="s">
        <v>46</v>
      </c>
      <c r="G50" s="5" t="s">
        <v>847</v>
      </c>
      <c r="H50" s="5"/>
      <c r="I50" s="5" t="s">
        <v>46</v>
      </c>
    </row>
    <row r="51" customFormat="false" ht="26.85" hidden="false" customHeight="false" outlineLevel="0" collapsed="false">
      <c r="A51" s="5" t="s">
        <v>1029</v>
      </c>
      <c r="B51" s="5" t="s">
        <v>1020</v>
      </c>
      <c r="C51" s="5" t="s">
        <v>1030</v>
      </c>
      <c r="D51" s="5" t="s">
        <v>989</v>
      </c>
      <c r="E51" s="5" t="s">
        <v>1031</v>
      </c>
      <c r="F51" s="5" t="s">
        <v>46</v>
      </c>
      <c r="G51" s="5" t="s">
        <v>847</v>
      </c>
      <c r="H51" s="5"/>
      <c r="I51" s="5" t="s">
        <v>46</v>
      </c>
    </row>
    <row r="52" customFormat="false" ht="39.55" hidden="false" customHeight="false" outlineLevel="0" collapsed="false">
      <c r="A52" s="5" t="s">
        <v>1032</v>
      </c>
      <c r="B52" s="5" t="s">
        <v>1020</v>
      </c>
      <c r="C52" s="5" t="s">
        <v>1033</v>
      </c>
      <c r="D52" s="5" t="s">
        <v>989</v>
      </c>
      <c r="E52" s="5" t="s">
        <v>1028</v>
      </c>
      <c r="F52" s="5" t="s">
        <v>46</v>
      </c>
      <c r="G52" s="5" t="s">
        <v>847</v>
      </c>
      <c r="H52" s="5"/>
      <c r="I52" s="5" t="s">
        <v>46</v>
      </c>
    </row>
    <row r="53" customFormat="false" ht="52.2" hidden="false" customHeight="false" outlineLevel="0" collapsed="false">
      <c r="A53" s="5" t="s">
        <v>1034</v>
      </c>
      <c r="B53" s="5" t="s">
        <v>1020</v>
      </c>
      <c r="C53" s="5" t="s">
        <v>1035</v>
      </c>
      <c r="D53" s="5" t="s">
        <v>981</v>
      </c>
      <c r="E53" s="5" t="s">
        <v>1036</v>
      </c>
      <c r="F53" s="5" t="s">
        <v>46</v>
      </c>
      <c r="G53" s="5" t="s">
        <v>847</v>
      </c>
      <c r="H53" s="5"/>
      <c r="I53" s="5" t="s">
        <v>46</v>
      </c>
    </row>
    <row r="54" customFormat="false" ht="26.85" hidden="false" customHeight="false" outlineLevel="0" collapsed="false">
      <c r="A54" s="5" t="s">
        <v>1037</v>
      </c>
      <c r="B54" s="5" t="s">
        <v>1020</v>
      </c>
      <c r="C54" s="5" t="s">
        <v>1038</v>
      </c>
      <c r="D54" s="5" t="s">
        <v>989</v>
      </c>
      <c r="E54" s="5" t="s">
        <v>1025</v>
      </c>
      <c r="F54" s="5" t="s">
        <v>46</v>
      </c>
      <c r="G54" s="5" t="s">
        <v>847</v>
      </c>
      <c r="H54" s="5"/>
      <c r="I54" s="5" t="s">
        <v>46</v>
      </c>
    </row>
    <row r="55" customFormat="false" ht="39.55" hidden="false" customHeight="false" outlineLevel="0" collapsed="false">
      <c r="A55" s="5" t="s">
        <v>1039</v>
      </c>
      <c r="B55" s="5" t="s">
        <v>1020</v>
      </c>
      <c r="C55" s="5" t="s">
        <v>1040</v>
      </c>
      <c r="D55" s="5" t="s">
        <v>989</v>
      </c>
      <c r="E55" s="5" t="s">
        <v>1028</v>
      </c>
      <c r="F55" s="5" t="s">
        <v>46</v>
      </c>
      <c r="G55" s="5" t="s">
        <v>847</v>
      </c>
      <c r="H55" s="5"/>
      <c r="I55" s="5" t="s">
        <v>46</v>
      </c>
    </row>
    <row r="56" customFormat="false" ht="26.85" hidden="false" customHeight="false" outlineLevel="0" collapsed="false">
      <c r="A56" s="5" t="s">
        <v>1041</v>
      </c>
      <c r="B56" s="5" t="s">
        <v>1020</v>
      </c>
      <c r="C56" s="5" t="s">
        <v>1042</v>
      </c>
      <c r="D56" s="5" t="s">
        <v>989</v>
      </c>
      <c r="E56" s="5" t="s">
        <v>1031</v>
      </c>
      <c r="F56" s="5" t="s">
        <v>46</v>
      </c>
      <c r="G56" s="5" t="s">
        <v>847</v>
      </c>
      <c r="H56" s="5"/>
      <c r="I56" s="5" t="s">
        <v>46</v>
      </c>
    </row>
    <row r="57" customFormat="false" ht="39.55" hidden="false" customHeight="false" outlineLevel="0" collapsed="false">
      <c r="A57" s="5" t="s">
        <v>1043</v>
      </c>
      <c r="B57" s="5" t="s">
        <v>1020</v>
      </c>
      <c r="C57" s="5" t="s">
        <v>1044</v>
      </c>
      <c r="D57" s="5" t="s">
        <v>989</v>
      </c>
      <c r="E57" s="5" t="s">
        <v>1028</v>
      </c>
      <c r="F57" s="5" t="s">
        <v>46</v>
      </c>
      <c r="G57" s="5" t="s">
        <v>847</v>
      </c>
      <c r="H57" s="5"/>
      <c r="I57" s="5" t="s">
        <v>46</v>
      </c>
    </row>
    <row r="58" customFormat="false" ht="26.85" hidden="false" customHeight="false" outlineLevel="0" collapsed="false">
      <c r="A58" s="5" t="s">
        <v>1045</v>
      </c>
      <c r="B58" s="5" t="s">
        <v>1046</v>
      </c>
      <c r="C58" s="5" t="s">
        <v>1047</v>
      </c>
      <c r="D58" s="5" t="s">
        <v>1048</v>
      </c>
      <c r="E58" s="5" t="s">
        <v>1049</v>
      </c>
      <c r="F58" s="5" t="s">
        <v>46</v>
      </c>
      <c r="G58" s="5" t="s">
        <v>1050</v>
      </c>
      <c r="H58" s="5"/>
      <c r="I58" s="5" t="s">
        <v>46</v>
      </c>
    </row>
    <row r="59" customFormat="false" ht="26.85" hidden="false" customHeight="false" outlineLevel="0" collapsed="false">
      <c r="A59" s="5" t="s">
        <v>1051</v>
      </c>
      <c r="B59" s="5" t="s">
        <v>1046</v>
      </c>
      <c r="C59" s="5" t="s">
        <v>1052</v>
      </c>
      <c r="D59" s="5" t="s">
        <v>1053</v>
      </c>
      <c r="E59" s="5" t="s">
        <v>1054</v>
      </c>
      <c r="F59" s="5" t="s">
        <v>46</v>
      </c>
      <c r="G59" s="5" t="s">
        <v>1050</v>
      </c>
      <c r="H59" s="5"/>
      <c r="I59" s="5" t="s">
        <v>46</v>
      </c>
    </row>
    <row r="60" customFormat="false" ht="26.85" hidden="false" customHeight="false" outlineLevel="0" collapsed="false">
      <c r="A60" s="5" t="s">
        <v>1055</v>
      </c>
      <c r="B60" s="5" t="s">
        <v>1046</v>
      </c>
      <c r="C60" s="5" t="s">
        <v>1056</v>
      </c>
      <c r="D60" s="5" t="s">
        <v>1057</v>
      </c>
      <c r="E60" s="5" t="s">
        <v>1058</v>
      </c>
      <c r="F60" s="5" t="s">
        <v>46</v>
      </c>
      <c r="G60" s="5" t="s">
        <v>1050</v>
      </c>
      <c r="H60" s="5"/>
      <c r="I60" s="5" t="s">
        <v>46</v>
      </c>
    </row>
    <row r="61" customFormat="false" ht="15" hidden="false" customHeight="false" outlineLevel="0" collapsed="false">
      <c r="A61" s="5" t="s">
        <v>1059</v>
      </c>
      <c r="B61" s="5" t="s">
        <v>1046</v>
      </c>
      <c r="C61" s="5" t="s">
        <v>1060</v>
      </c>
      <c r="D61" s="5" t="s">
        <v>1061</v>
      </c>
      <c r="E61" s="5" t="s">
        <v>1062</v>
      </c>
      <c r="F61" s="5" t="s">
        <v>46</v>
      </c>
      <c r="G61" s="5" t="s">
        <v>1050</v>
      </c>
      <c r="H61" s="5"/>
      <c r="I61" s="5" t="s">
        <v>46</v>
      </c>
    </row>
    <row r="62" customFormat="false" ht="26.85" hidden="false" customHeight="false" outlineLevel="0" collapsed="false">
      <c r="A62" s="5" t="s">
        <v>1063</v>
      </c>
      <c r="B62" s="5" t="s">
        <v>1064</v>
      </c>
      <c r="C62" s="5" t="s">
        <v>1065</v>
      </c>
      <c r="D62" s="5" t="s">
        <v>1066</v>
      </c>
      <c r="E62" s="5" t="s">
        <v>1067</v>
      </c>
      <c r="F62" s="5" t="s">
        <v>46</v>
      </c>
      <c r="G62" s="5" t="s">
        <v>1050</v>
      </c>
      <c r="H62" s="5"/>
      <c r="I62" s="5" t="s">
        <v>46</v>
      </c>
    </row>
    <row r="63" customFormat="false" ht="15" hidden="false" customHeight="false" outlineLevel="0" collapsed="false">
      <c r="A63" s="5" t="s">
        <v>1068</v>
      </c>
      <c r="B63" s="5" t="s">
        <v>1046</v>
      </c>
      <c r="C63" s="5" t="s">
        <v>1069</v>
      </c>
      <c r="D63" s="5" t="s">
        <v>1070</v>
      </c>
      <c r="E63" s="5" t="s">
        <v>1071</v>
      </c>
      <c r="F63" s="5" t="s">
        <v>46</v>
      </c>
      <c r="G63" s="5" t="s">
        <v>1050</v>
      </c>
      <c r="H63" s="5"/>
      <c r="I63" s="5" t="s">
        <v>46</v>
      </c>
    </row>
    <row r="64" customFormat="false" ht="39.55" hidden="false" customHeight="false" outlineLevel="0" collapsed="false">
      <c r="A64" s="5" t="s">
        <v>1072</v>
      </c>
      <c r="B64" s="5" t="s">
        <v>1046</v>
      </c>
      <c r="C64" s="5" t="s">
        <v>1073</v>
      </c>
      <c r="D64" s="5" t="s">
        <v>1074</v>
      </c>
      <c r="E64" s="5" t="s">
        <v>1075</v>
      </c>
      <c r="F64" s="5" t="s">
        <v>46</v>
      </c>
      <c r="G64" s="5" t="s">
        <v>1050</v>
      </c>
      <c r="H64" s="5"/>
      <c r="I64" s="5" t="s">
        <v>46</v>
      </c>
    </row>
    <row r="65" customFormat="false" ht="39.55" hidden="false" customHeight="false" outlineLevel="0" collapsed="false">
      <c r="A65" s="5" t="s">
        <v>1076</v>
      </c>
      <c r="B65" s="5" t="s">
        <v>1077</v>
      </c>
      <c r="C65" s="5" t="s">
        <v>1078</v>
      </c>
      <c r="D65" s="5" t="s">
        <v>1079</v>
      </c>
      <c r="E65" s="5" t="s">
        <v>1080</v>
      </c>
      <c r="F65" s="5" t="s">
        <v>46</v>
      </c>
      <c r="G65" s="5" t="s">
        <v>1050</v>
      </c>
      <c r="H65" s="5"/>
      <c r="I65" s="5" t="s">
        <v>46</v>
      </c>
    </row>
    <row r="66" customFormat="false" ht="26.85" hidden="false" customHeight="false" outlineLevel="0" collapsed="false">
      <c r="A66" s="5" t="s">
        <v>1081</v>
      </c>
      <c r="B66" s="5" t="s">
        <v>1046</v>
      </c>
      <c r="C66" s="5" t="s">
        <v>1082</v>
      </c>
      <c r="D66" s="5" t="s">
        <v>1083</v>
      </c>
      <c r="E66" s="5" t="s">
        <v>1084</v>
      </c>
      <c r="F66" s="5" t="s">
        <v>46</v>
      </c>
      <c r="G66" s="5" t="s">
        <v>1050</v>
      </c>
      <c r="H66" s="5"/>
      <c r="I66" s="5" t="s">
        <v>46</v>
      </c>
    </row>
    <row r="67" customFormat="false" ht="26.85" hidden="false" customHeight="false" outlineLevel="0" collapsed="false">
      <c r="A67" s="5" t="s">
        <v>1085</v>
      </c>
      <c r="B67" s="5" t="s">
        <v>1046</v>
      </c>
      <c r="C67" s="5" t="s">
        <v>1086</v>
      </c>
      <c r="D67" s="5" t="s">
        <v>1087</v>
      </c>
      <c r="E67" s="5" t="s">
        <v>1088</v>
      </c>
      <c r="F67" s="5" t="s">
        <v>46</v>
      </c>
      <c r="G67" s="5" t="s">
        <v>1050</v>
      </c>
      <c r="H67" s="5"/>
      <c r="I67" s="5" t="s">
        <v>46</v>
      </c>
    </row>
    <row r="68" customFormat="false" ht="15" hidden="false" customHeight="false" outlineLevel="0" collapsed="false">
      <c r="A68" s="5" t="s">
        <v>1089</v>
      </c>
      <c r="B68" s="5" t="s">
        <v>1046</v>
      </c>
      <c r="C68" s="5" t="s">
        <v>1090</v>
      </c>
      <c r="D68" s="5" t="s">
        <v>945</v>
      </c>
      <c r="E68" s="5" t="s">
        <v>1091</v>
      </c>
      <c r="F68" s="5" t="s">
        <v>46</v>
      </c>
      <c r="G68" s="5" t="s">
        <v>1050</v>
      </c>
      <c r="H68" s="5"/>
      <c r="I68" s="5" t="s">
        <v>46</v>
      </c>
    </row>
    <row r="69" customFormat="false" ht="15" hidden="false" customHeight="false" outlineLevel="0" collapsed="false">
      <c r="A69" s="5" t="s">
        <v>1092</v>
      </c>
      <c r="B69" s="5" t="s">
        <v>1046</v>
      </c>
      <c r="C69" s="5" t="s">
        <v>1093</v>
      </c>
      <c r="D69" s="5" t="s">
        <v>1094</v>
      </c>
      <c r="E69" s="5" t="s">
        <v>1095</v>
      </c>
      <c r="F69" s="5" t="s">
        <v>46</v>
      </c>
      <c r="G69" s="5" t="s">
        <v>1050</v>
      </c>
      <c r="H69" s="5"/>
      <c r="I69" s="5" t="s">
        <v>46</v>
      </c>
    </row>
    <row r="70" customFormat="false" ht="15" hidden="false" customHeight="false" outlineLevel="0" collapsed="false">
      <c r="A70" s="5" t="s">
        <v>1096</v>
      </c>
      <c r="B70" s="5" t="s">
        <v>1046</v>
      </c>
      <c r="C70" s="5" t="s">
        <v>1097</v>
      </c>
      <c r="D70" s="5" t="s">
        <v>1098</v>
      </c>
      <c r="E70" s="5" t="s">
        <v>1099</v>
      </c>
      <c r="F70" s="5" t="s">
        <v>46</v>
      </c>
      <c r="G70" s="5" t="s">
        <v>1050</v>
      </c>
      <c r="H70" s="5"/>
      <c r="I70" s="5" t="s">
        <v>46</v>
      </c>
    </row>
    <row r="71" customFormat="false" ht="15" hidden="false" customHeight="false" outlineLevel="0" collapsed="false">
      <c r="A71" s="5" t="s">
        <v>1100</v>
      </c>
      <c r="B71" s="5" t="s">
        <v>1046</v>
      </c>
      <c r="C71" s="5" t="s">
        <v>1101</v>
      </c>
      <c r="D71" s="5" t="s">
        <v>945</v>
      </c>
      <c r="E71" s="5" t="s">
        <v>1102</v>
      </c>
      <c r="F71" s="5" t="s">
        <v>46</v>
      </c>
      <c r="G71" s="5" t="s">
        <v>1050</v>
      </c>
      <c r="H71" s="5"/>
      <c r="I71" s="5" t="s">
        <v>46</v>
      </c>
    </row>
    <row r="72" customFormat="false" ht="26.85" hidden="false" customHeight="false" outlineLevel="0" collapsed="false">
      <c r="A72" s="5" t="s">
        <v>1103</v>
      </c>
      <c r="B72" s="5" t="s">
        <v>1046</v>
      </c>
      <c r="C72" s="5" t="s">
        <v>1104</v>
      </c>
      <c r="D72" s="5" t="s">
        <v>1105</v>
      </c>
      <c r="E72" s="5" t="s">
        <v>1106</v>
      </c>
      <c r="F72" s="5" t="s">
        <v>46</v>
      </c>
      <c r="G72" s="5" t="s">
        <v>1050</v>
      </c>
      <c r="H72" s="5"/>
      <c r="I72" s="5" t="s">
        <v>46</v>
      </c>
    </row>
    <row r="73" customFormat="false" ht="15" hidden="false" customHeight="false" outlineLevel="0" collapsed="false">
      <c r="A73" s="5" t="s">
        <v>1107</v>
      </c>
      <c r="B73" s="5" t="s">
        <v>1046</v>
      </c>
      <c r="C73" s="5" t="s">
        <v>1108</v>
      </c>
      <c r="D73" s="5" t="s">
        <v>1109</v>
      </c>
      <c r="E73" s="5" t="s">
        <v>1110</v>
      </c>
      <c r="F73" s="5" t="s">
        <v>46</v>
      </c>
      <c r="G73" s="5" t="s">
        <v>1050</v>
      </c>
      <c r="H73" s="5"/>
      <c r="I73" s="5" t="s">
        <v>46</v>
      </c>
    </row>
    <row r="74" customFormat="false" ht="39.55" hidden="false" customHeight="false" outlineLevel="0" collapsed="false">
      <c r="A74" s="5" t="s">
        <v>1111</v>
      </c>
      <c r="B74" s="5" t="s">
        <v>1046</v>
      </c>
      <c r="C74" s="5" t="s">
        <v>1112</v>
      </c>
      <c r="D74" s="5" t="s">
        <v>1113</v>
      </c>
      <c r="E74" s="5" t="s">
        <v>1114</v>
      </c>
      <c r="F74" s="5" t="s">
        <v>46</v>
      </c>
      <c r="G74" s="5" t="s">
        <v>1050</v>
      </c>
      <c r="H74" s="5"/>
      <c r="I74" s="5" t="s">
        <v>46</v>
      </c>
    </row>
    <row r="75" customFormat="false" ht="15" hidden="false" customHeight="false" outlineLevel="0" collapsed="false">
      <c r="A75" s="5" t="s">
        <v>1115</v>
      </c>
      <c r="B75" s="5" t="s">
        <v>1046</v>
      </c>
      <c r="C75" s="5" t="s">
        <v>1116</v>
      </c>
      <c r="D75" s="5" t="s">
        <v>1117</v>
      </c>
      <c r="E75" s="5" t="s">
        <v>1118</v>
      </c>
      <c r="F75" s="5" t="s">
        <v>46</v>
      </c>
      <c r="G75" s="5" t="s">
        <v>1050</v>
      </c>
      <c r="H75" s="5"/>
      <c r="I75" s="5" t="s">
        <v>46</v>
      </c>
    </row>
    <row r="76" customFormat="false" ht="26.85" hidden="false" customHeight="false" outlineLevel="0" collapsed="false">
      <c r="A76" s="5" t="s">
        <v>1119</v>
      </c>
      <c r="B76" s="5" t="s">
        <v>1120</v>
      </c>
      <c r="C76" s="5" t="s">
        <v>1121</v>
      </c>
      <c r="D76" s="5" t="s">
        <v>1122</v>
      </c>
      <c r="E76" s="5" t="s">
        <v>1123</v>
      </c>
      <c r="F76" s="5" t="s">
        <v>46</v>
      </c>
      <c r="G76" s="5" t="s">
        <v>1050</v>
      </c>
      <c r="H76" s="5"/>
      <c r="I76" s="5" t="s">
        <v>46</v>
      </c>
    </row>
    <row r="77" customFormat="false" ht="26.85" hidden="false" customHeight="false" outlineLevel="0" collapsed="false">
      <c r="A77" s="5" t="s">
        <v>1124</v>
      </c>
      <c r="B77" s="5" t="s">
        <v>1120</v>
      </c>
      <c r="C77" s="5" t="s">
        <v>1125</v>
      </c>
      <c r="D77" s="5" t="s">
        <v>920</v>
      </c>
      <c r="E77" s="5" t="s">
        <v>1126</v>
      </c>
      <c r="F77" s="5" t="s">
        <v>46</v>
      </c>
      <c r="G77" s="5" t="s">
        <v>1050</v>
      </c>
      <c r="H77" s="5"/>
      <c r="I77" s="5" t="s">
        <v>46</v>
      </c>
    </row>
    <row r="78" customFormat="false" ht="26.85" hidden="false" customHeight="false" outlineLevel="0" collapsed="false">
      <c r="A78" s="5" t="s">
        <v>1127</v>
      </c>
      <c r="B78" s="5" t="s">
        <v>1120</v>
      </c>
      <c r="C78" s="5" t="s">
        <v>1128</v>
      </c>
      <c r="D78" s="5" t="s">
        <v>920</v>
      </c>
      <c r="E78" s="5" t="s">
        <v>1129</v>
      </c>
      <c r="F78" s="5" t="s">
        <v>46</v>
      </c>
      <c r="G78" s="5" t="s">
        <v>1050</v>
      </c>
      <c r="H78" s="5"/>
      <c r="I78" s="5" t="s">
        <v>46</v>
      </c>
    </row>
    <row r="79" customFormat="false" ht="39.55" hidden="false" customHeight="false" outlineLevel="0" collapsed="false">
      <c r="A79" s="5" t="s">
        <v>1130</v>
      </c>
      <c r="B79" s="5" t="s">
        <v>1120</v>
      </c>
      <c r="C79" s="5" t="s">
        <v>1131</v>
      </c>
      <c r="D79" s="5" t="s">
        <v>920</v>
      </c>
      <c r="E79" s="5" t="s">
        <v>1132</v>
      </c>
      <c r="F79" s="5" t="s">
        <v>46</v>
      </c>
      <c r="G79" s="5" t="s">
        <v>1050</v>
      </c>
      <c r="H79" s="5"/>
      <c r="I79" s="5" t="s">
        <v>46</v>
      </c>
    </row>
    <row r="80" customFormat="false" ht="15" hidden="false" customHeight="false" outlineLevel="0" collapsed="false">
      <c r="A80" s="5" t="s">
        <v>1133</v>
      </c>
      <c r="B80" s="5" t="s">
        <v>1120</v>
      </c>
      <c r="C80" s="5" t="s">
        <v>1134</v>
      </c>
      <c r="D80" s="5" t="s">
        <v>1135</v>
      </c>
      <c r="E80" s="5" t="s">
        <v>1136</v>
      </c>
      <c r="F80" s="5" t="s">
        <v>46</v>
      </c>
      <c r="G80" s="5" t="s">
        <v>1050</v>
      </c>
      <c r="H80" s="5"/>
      <c r="I80" s="5" t="s">
        <v>46</v>
      </c>
    </row>
    <row r="81" customFormat="false" ht="26.85" hidden="false" customHeight="false" outlineLevel="0" collapsed="false">
      <c r="A81" s="5" t="s">
        <v>1137</v>
      </c>
      <c r="B81" s="5" t="s">
        <v>1077</v>
      </c>
      <c r="C81" s="5" t="s">
        <v>1138</v>
      </c>
      <c r="D81" s="5" t="s">
        <v>1139</v>
      </c>
      <c r="E81" s="5" t="s">
        <v>1140</v>
      </c>
      <c r="F81" s="5" t="s">
        <v>46</v>
      </c>
      <c r="G81" s="5" t="s">
        <v>1050</v>
      </c>
      <c r="H81" s="5"/>
      <c r="I81" s="5" t="s">
        <v>46</v>
      </c>
    </row>
    <row r="82" customFormat="false" ht="15" hidden="false" customHeight="false" outlineLevel="0" collapsed="false">
      <c r="A82" s="5" t="s">
        <v>1141</v>
      </c>
      <c r="B82" s="5" t="s">
        <v>1077</v>
      </c>
      <c r="C82" s="5" t="s">
        <v>1142</v>
      </c>
      <c r="D82" s="5" t="s">
        <v>1143</v>
      </c>
      <c r="E82" s="5" t="s">
        <v>1144</v>
      </c>
      <c r="F82" s="5" t="s">
        <v>46</v>
      </c>
      <c r="G82" s="5" t="s">
        <v>1050</v>
      </c>
      <c r="H82" s="5"/>
      <c r="I82" s="5" t="s">
        <v>46</v>
      </c>
    </row>
    <row r="83" customFormat="false" ht="15" hidden="false" customHeight="false" outlineLevel="0" collapsed="false">
      <c r="A83" s="5" t="s">
        <v>1145</v>
      </c>
      <c r="B83" s="5" t="s">
        <v>1077</v>
      </c>
      <c r="C83" s="5" t="s">
        <v>1146</v>
      </c>
      <c r="D83" s="5" t="s">
        <v>1143</v>
      </c>
      <c r="E83" s="5" t="s">
        <v>1144</v>
      </c>
      <c r="F83" s="5" t="s">
        <v>46</v>
      </c>
      <c r="G83" s="5" t="s">
        <v>1050</v>
      </c>
      <c r="H83" s="5"/>
      <c r="I83" s="5" t="s">
        <v>46</v>
      </c>
    </row>
    <row r="84" customFormat="false" ht="26.85" hidden="false" customHeight="false" outlineLevel="0" collapsed="false">
      <c r="A84" s="5" t="s">
        <v>1147</v>
      </c>
      <c r="B84" s="5" t="s">
        <v>1120</v>
      </c>
      <c r="C84" s="5" t="s">
        <v>1148</v>
      </c>
      <c r="D84" s="5" t="s">
        <v>1149</v>
      </c>
      <c r="E84" s="5" t="s">
        <v>1150</v>
      </c>
      <c r="F84" s="5" t="s">
        <v>46</v>
      </c>
      <c r="G84" s="5" t="s">
        <v>1050</v>
      </c>
      <c r="H84" s="5"/>
      <c r="I84" s="5" t="s">
        <v>46</v>
      </c>
    </row>
    <row r="85" customFormat="false" ht="26.85" hidden="false" customHeight="false" outlineLevel="0" collapsed="false">
      <c r="A85" s="5" t="s">
        <v>1151</v>
      </c>
      <c r="B85" s="5" t="s">
        <v>1120</v>
      </c>
      <c r="C85" s="5" t="s">
        <v>1152</v>
      </c>
      <c r="D85" s="5" t="s">
        <v>920</v>
      </c>
      <c r="E85" s="5" t="s">
        <v>1153</v>
      </c>
      <c r="F85" s="5" t="s">
        <v>46</v>
      </c>
      <c r="G85" s="5" t="s">
        <v>1050</v>
      </c>
      <c r="H85" s="5"/>
      <c r="I85" s="5" t="s">
        <v>46</v>
      </c>
    </row>
    <row r="86" customFormat="false" ht="15" hidden="false" customHeight="false" outlineLevel="0" collapsed="false">
      <c r="A86" s="5" t="s">
        <v>1154</v>
      </c>
      <c r="B86" s="5" t="s">
        <v>1120</v>
      </c>
      <c r="C86" s="5" t="s">
        <v>1155</v>
      </c>
      <c r="D86" s="5" t="s">
        <v>940</v>
      </c>
      <c r="E86" s="5" t="s">
        <v>941</v>
      </c>
      <c r="F86" s="5" t="s">
        <v>46</v>
      </c>
      <c r="G86" s="5" t="s">
        <v>1050</v>
      </c>
      <c r="H86" s="5"/>
      <c r="I86" s="5" t="s">
        <v>46</v>
      </c>
    </row>
    <row r="87" customFormat="false" ht="26.85" hidden="false" customHeight="false" outlineLevel="0" collapsed="false">
      <c r="A87" s="5" t="s">
        <v>1156</v>
      </c>
      <c r="B87" s="5" t="s">
        <v>1120</v>
      </c>
      <c r="C87" s="5" t="s">
        <v>1157</v>
      </c>
      <c r="D87" s="5" t="s">
        <v>1158</v>
      </c>
      <c r="E87" s="5" t="s">
        <v>1159</v>
      </c>
      <c r="F87" s="5" t="s">
        <v>881</v>
      </c>
      <c r="G87" s="5" t="s">
        <v>1050</v>
      </c>
      <c r="H87" s="5" t="s">
        <v>1160</v>
      </c>
      <c r="I87" s="5" t="s">
        <v>883</v>
      </c>
    </row>
    <row r="88" customFormat="false" ht="15" hidden="false" customHeight="false" outlineLevel="0" collapsed="false">
      <c r="A88" s="5" t="s">
        <v>1161</v>
      </c>
      <c r="B88" s="5" t="s">
        <v>1120</v>
      </c>
      <c r="C88" s="5" t="s">
        <v>1162</v>
      </c>
      <c r="D88" s="5" t="s">
        <v>1163</v>
      </c>
      <c r="E88" s="5" t="s">
        <v>1164</v>
      </c>
      <c r="F88" s="5" t="s">
        <v>46</v>
      </c>
      <c r="G88" s="5" t="s">
        <v>1050</v>
      </c>
      <c r="H88" s="5"/>
      <c r="I88" s="5" t="s">
        <v>46</v>
      </c>
    </row>
    <row r="89" customFormat="false" ht="15" hidden="false" customHeight="false" outlineLevel="0" collapsed="false">
      <c r="A89" s="5" t="s">
        <v>1165</v>
      </c>
      <c r="B89" s="5" t="s">
        <v>1120</v>
      </c>
      <c r="C89" s="5" t="s">
        <v>1166</v>
      </c>
      <c r="D89" s="5" t="s">
        <v>1167</v>
      </c>
      <c r="E89" s="5" t="s">
        <v>1168</v>
      </c>
      <c r="F89" s="5" t="s">
        <v>46</v>
      </c>
      <c r="G89" s="5" t="s">
        <v>1050</v>
      </c>
      <c r="H89" s="5"/>
      <c r="I89" s="5" t="s">
        <v>46</v>
      </c>
    </row>
    <row r="90" customFormat="false" ht="26.85" hidden="false" customHeight="false" outlineLevel="0" collapsed="false">
      <c r="A90" s="5" t="s">
        <v>1169</v>
      </c>
      <c r="B90" s="5" t="s">
        <v>1120</v>
      </c>
      <c r="C90" s="5" t="s">
        <v>1170</v>
      </c>
      <c r="D90" s="5" t="s">
        <v>920</v>
      </c>
      <c r="E90" s="5" t="s">
        <v>1171</v>
      </c>
      <c r="F90" s="5" t="s">
        <v>46</v>
      </c>
      <c r="G90" s="5" t="s">
        <v>1050</v>
      </c>
      <c r="H90" s="5"/>
      <c r="I90" s="5" t="s">
        <v>46</v>
      </c>
    </row>
    <row r="91" customFormat="false" ht="77.6" hidden="false" customHeight="false" outlineLevel="0" collapsed="false">
      <c r="A91" s="5" t="s">
        <v>1172</v>
      </c>
      <c r="B91" s="5" t="s">
        <v>1064</v>
      </c>
      <c r="C91" s="5" t="s">
        <v>1173</v>
      </c>
      <c r="D91" s="5" t="s">
        <v>1174</v>
      </c>
      <c r="E91" s="5" t="s">
        <v>1175</v>
      </c>
      <c r="F91" s="5" t="s">
        <v>46</v>
      </c>
      <c r="G91" s="5" t="s">
        <v>1050</v>
      </c>
      <c r="H91" s="5"/>
      <c r="I91" s="5" t="s">
        <v>46</v>
      </c>
    </row>
    <row r="92" customFormat="false" ht="39.55" hidden="false" customHeight="false" outlineLevel="0" collapsed="false">
      <c r="A92" s="5" t="s">
        <v>1176</v>
      </c>
      <c r="B92" s="5" t="s">
        <v>1120</v>
      </c>
      <c r="C92" s="5" t="s">
        <v>1177</v>
      </c>
      <c r="D92" s="5" t="s">
        <v>920</v>
      </c>
      <c r="E92" s="5" t="s">
        <v>1178</v>
      </c>
      <c r="F92" s="5" t="s">
        <v>46</v>
      </c>
      <c r="G92" s="5" t="s">
        <v>1050</v>
      </c>
      <c r="H92" s="5"/>
      <c r="I92" s="5" t="s">
        <v>46</v>
      </c>
    </row>
    <row r="93" customFormat="false" ht="26.85" hidden="false" customHeight="false" outlineLevel="0" collapsed="false">
      <c r="A93" s="5" t="s">
        <v>1179</v>
      </c>
      <c r="B93" s="5" t="s">
        <v>1064</v>
      </c>
      <c r="C93" s="5" t="s">
        <v>1180</v>
      </c>
      <c r="D93" s="5" t="s">
        <v>1181</v>
      </c>
      <c r="E93" s="5" t="s">
        <v>1182</v>
      </c>
      <c r="F93" s="5" t="s">
        <v>46</v>
      </c>
      <c r="G93" s="5" t="s">
        <v>1050</v>
      </c>
      <c r="H93" s="5"/>
      <c r="I93" s="5" t="s">
        <v>46</v>
      </c>
    </row>
    <row r="94" customFormat="false" ht="26.85" hidden="false" customHeight="false" outlineLevel="0" collapsed="false">
      <c r="A94" s="5" t="s">
        <v>1183</v>
      </c>
      <c r="B94" s="5" t="s">
        <v>1184</v>
      </c>
      <c r="C94" s="5" t="s">
        <v>1185</v>
      </c>
      <c r="D94" s="5" t="s">
        <v>1186</v>
      </c>
      <c r="E94" s="5" t="s">
        <v>1186</v>
      </c>
      <c r="F94" s="5" t="s">
        <v>46</v>
      </c>
      <c r="G94" s="5" t="s">
        <v>1050</v>
      </c>
      <c r="H94" s="5"/>
      <c r="I94" s="5" t="s">
        <v>46</v>
      </c>
    </row>
    <row r="95" customFormat="false" ht="15" hidden="false" customHeight="false" outlineLevel="0" collapsed="false">
      <c r="A95" s="5" t="s">
        <v>1187</v>
      </c>
      <c r="B95" s="5" t="s">
        <v>1184</v>
      </c>
      <c r="C95" s="5" t="s">
        <v>1188</v>
      </c>
      <c r="D95" s="5" t="s">
        <v>1189</v>
      </c>
      <c r="E95" s="5" t="s">
        <v>1190</v>
      </c>
      <c r="F95" s="5" t="s">
        <v>46</v>
      </c>
      <c r="G95" s="5" t="s">
        <v>1050</v>
      </c>
      <c r="H95" s="5"/>
      <c r="I95" s="5" t="s">
        <v>46</v>
      </c>
    </row>
    <row r="96" customFormat="false" ht="15" hidden="false" customHeight="false" outlineLevel="0" collapsed="false">
      <c r="A96" s="5" t="s">
        <v>1191</v>
      </c>
      <c r="B96" s="5" t="s">
        <v>1120</v>
      </c>
      <c r="C96" s="5" t="s">
        <v>1192</v>
      </c>
      <c r="D96" s="5" t="s">
        <v>1193</v>
      </c>
      <c r="E96" s="5" t="s">
        <v>1194</v>
      </c>
      <c r="F96" s="5" t="s">
        <v>46</v>
      </c>
      <c r="G96" s="5" t="s">
        <v>1050</v>
      </c>
      <c r="H96" s="5"/>
      <c r="I96" s="5" t="s">
        <v>46</v>
      </c>
    </row>
    <row r="97" customFormat="false" ht="15" hidden="false" customHeight="false" outlineLevel="0" collapsed="false">
      <c r="A97" s="5" t="s">
        <v>1195</v>
      </c>
      <c r="B97" s="5" t="s">
        <v>1120</v>
      </c>
      <c r="C97" s="5" t="s">
        <v>1196</v>
      </c>
      <c r="D97" s="5" t="s">
        <v>1197</v>
      </c>
      <c r="E97" s="5" t="s">
        <v>1197</v>
      </c>
      <c r="F97" s="5" t="s">
        <v>46</v>
      </c>
      <c r="G97" s="5" t="s">
        <v>1050</v>
      </c>
      <c r="H97" s="5"/>
      <c r="I97" s="5" t="s">
        <v>46</v>
      </c>
    </row>
    <row r="98" customFormat="false" ht="52.2" hidden="false" customHeight="false" outlineLevel="0" collapsed="false">
      <c r="A98" s="5" t="s">
        <v>1198</v>
      </c>
      <c r="B98" s="5" t="s">
        <v>1077</v>
      </c>
      <c r="C98" s="5" t="s">
        <v>1199</v>
      </c>
      <c r="D98" s="5" t="s">
        <v>1200</v>
      </c>
      <c r="E98" s="5" t="s">
        <v>1201</v>
      </c>
      <c r="F98" s="5" t="s">
        <v>46</v>
      </c>
      <c r="G98" s="5" t="s">
        <v>1050</v>
      </c>
      <c r="H98" s="5"/>
      <c r="I98" s="5" t="s">
        <v>46</v>
      </c>
    </row>
    <row r="99" customFormat="false" ht="39.55" hidden="false" customHeight="false" outlineLevel="0" collapsed="false">
      <c r="A99" s="5" t="s">
        <v>1202</v>
      </c>
      <c r="B99" s="5" t="s">
        <v>1077</v>
      </c>
      <c r="C99" s="5" t="s">
        <v>1203</v>
      </c>
      <c r="D99" s="5" t="s">
        <v>1204</v>
      </c>
      <c r="E99" s="5" t="s">
        <v>1205</v>
      </c>
      <c r="F99" s="5" t="s">
        <v>46</v>
      </c>
      <c r="G99" s="5" t="s">
        <v>1050</v>
      </c>
      <c r="H99" s="5"/>
      <c r="I99" s="5" t="s">
        <v>46</v>
      </c>
    </row>
    <row r="100" customFormat="false" ht="15" hidden="false" customHeight="false" outlineLevel="0" collapsed="false">
      <c r="A100" s="5" t="s">
        <v>1206</v>
      </c>
      <c r="B100" s="5" t="s">
        <v>1077</v>
      </c>
      <c r="C100" s="5" t="s">
        <v>1207</v>
      </c>
      <c r="D100" s="5" t="s">
        <v>1208</v>
      </c>
      <c r="E100" s="5" t="s">
        <v>1209</v>
      </c>
      <c r="F100" s="5" t="s">
        <v>46</v>
      </c>
      <c r="G100" s="5" t="s">
        <v>1050</v>
      </c>
      <c r="H100" s="5"/>
      <c r="I100" s="5" t="s">
        <v>46</v>
      </c>
    </row>
    <row r="101" customFormat="false" ht="39.55" hidden="false" customHeight="false" outlineLevel="0" collapsed="false">
      <c r="A101" s="5" t="s">
        <v>1210</v>
      </c>
      <c r="B101" s="5" t="s">
        <v>1184</v>
      </c>
      <c r="C101" s="5" t="s">
        <v>1211</v>
      </c>
      <c r="D101" s="5" t="s">
        <v>1212</v>
      </c>
      <c r="E101" s="5" t="s">
        <v>1213</v>
      </c>
      <c r="F101" s="5" t="s">
        <v>46</v>
      </c>
      <c r="G101" s="5" t="s">
        <v>1050</v>
      </c>
      <c r="H101" s="5"/>
      <c r="I101" s="5" t="s">
        <v>46</v>
      </c>
    </row>
    <row r="102" customFormat="false" ht="26.85" hidden="false" customHeight="false" outlineLevel="0" collapsed="false">
      <c r="A102" s="5" t="s">
        <v>1214</v>
      </c>
      <c r="B102" s="5" t="s">
        <v>1184</v>
      </c>
      <c r="C102" s="5" t="s">
        <v>1215</v>
      </c>
      <c r="D102" s="5" t="s">
        <v>1216</v>
      </c>
      <c r="E102" s="5" t="s">
        <v>1217</v>
      </c>
      <c r="F102" s="5" t="s">
        <v>46</v>
      </c>
      <c r="G102" s="5" t="s">
        <v>1050</v>
      </c>
      <c r="H102" s="5"/>
      <c r="I102" s="5" t="s">
        <v>46</v>
      </c>
    </row>
    <row r="103" customFormat="false" ht="39.55" hidden="false" customHeight="false" outlineLevel="0" collapsed="false">
      <c r="A103" s="5" t="s">
        <v>1218</v>
      </c>
      <c r="B103" s="5" t="s">
        <v>1064</v>
      </c>
      <c r="C103" s="5" t="s">
        <v>1219</v>
      </c>
      <c r="D103" s="5" t="s">
        <v>920</v>
      </c>
      <c r="E103" s="5" t="s">
        <v>1220</v>
      </c>
      <c r="F103" s="5" t="s">
        <v>46</v>
      </c>
      <c r="G103" s="5" t="s">
        <v>1050</v>
      </c>
      <c r="H103" s="5"/>
      <c r="I103" s="5" t="s">
        <v>46</v>
      </c>
    </row>
    <row r="104" customFormat="false" ht="26.85" hidden="false" customHeight="false" outlineLevel="0" collapsed="false">
      <c r="A104" s="5" t="s">
        <v>1221</v>
      </c>
      <c r="B104" s="5" t="s">
        <v>1064</v>
      </c>
      <c r="C104" s="5" t="s">
        <v>1222</v>
      </c>
      <c r="D104" s="5" t="s">
        <v>920</v>
      </c>
      <c r="E104" s="5" t="s">
        <v>1223</v>
      </c>
      <c r="F104" s="5" t="s">
        <v>46</v>
      </c>
      <c r="G104" s="5" t="s">
        <v>1050</v>
      </c>
      <c r="H104" s="5"/>
      <c r="I104" s="5" t="s">
        <v>46</v>
      </c>
    </row>
    <row r="105" customFormat="false" ht="64.9" hidden="false" customHeight="false" outlineLevel="0" collapsed="false">
      <c r="A105" s="5" t="s">
        <v>1224</v>
      </c>
      <c r="B105" s="5" t="s">
        <v>1077</v>
      </c>
      <c r="C105" s="5" t="s">
        <v>1225</v>
      </c>
      <c r="D105" s="5" t="s">
        <v>1226</v>
      </c>
      <c r="E105" s="5" t="s">
        <v>1227</v>
      </c>
      <c r="F105" s="5" t="s">
        <v>46</v>
      </c>
      <c r="G105" s="5" t="s">
        <v>1050</v>
      </c>
      <c r="H105" s="5"/>
      <c r="I105" s="5" t="s">
        <v>46</v>
      </c>
    </row>
    <row r="106" customFormat="false" ht="26.85" hidden="false" customHeight="false" outlineLevel="0" collapsed="false">
      <c r="A106" s="5" t="s">
        <v>1228</v>
      </c>
      <c r="B106" s="5" t="s">
        <v>1046</v>
      </c>
      <c r="C106" s="5" t="s">
        <v>1229</v>
      </c>
      <c r="D106" s="5" t="s">
        <v>1230</v>
      </c>
      <c r="E106" s="5" t="s">
        <v>1231</v>
      </c>
      <c r="F106" s="5" t="s">
        <v>46</v>
      </c>
      <c r="G106" s="5" t="s">
        <v>1050</v>
      </c>
      <c r="H106" s="5"/>
      <c r="I106" s="5" t="s">
        <v>46</v>
      </c>
    </row>
    <row r="107" customFormat="false" ht="26.85" hidden="false" customHeight="false" outlineLevel="0" collapsed="false">
      <c r="A107" s="5" t="s">
        <v>1232</v>
      </c>
      <c r="B107" s="5" t="s">
        <v>1046</v>
      </c>
      <c r="C107" s="5" t="s">
        <v>1233</v>
      </c>
      <c r="D107" s="5" t="s">
        <v>1234</v>
      </c>
      <c r="E107" s="5" t="s">
        <v>1235</v>
      </c>
      <c r="F107" s="5" t="s">
        <v>46</v>
      </c>
      <c r="G107" s="5" t="s">
        <v>1050</v>
      </c>
      <c r="H107" s="5"/>
      <c r="I107" s="5" t="s">
        <v>46</v>
      </c>
    </row>
    <row r="108" customFormat="false" ht="26.85" hidden="false" customHeight="false" outlineLevel="0" collapsed="false">
      <c r="A108" s="5" t="s">
        <v>1236</v>
      </c>
      <c r="B108" s="5" t="s">
        <v>1046</v>
      </c>
      <c r="C108" s="5" t="s">
        <v>1237</v>
      </c>
      <c r="D108" s="5" t="s">
        <v>920</v>
      </c>
      <c r="E108" s="5" t="s">
        <v>1238</v>
      </c>
      <c r="F108" s="5" t="s">
        <v>46</v>
      </c>
      <c r="G108" s="5" t="s">
        <v>1050</v>
      </c>
      <c r="H108" s="5"/>
      <c r="I108" s="5" t="s">
        <v>46</v>
      </c>
    </row>
    <row r="109" customFormat="false" ht="15" hidden="false" customHeight="false" outlineLevel="0" collapsed="false">
      <c r="A109" s="5" t="s">
        <v>1239</v>
      </c>
      <c r="B109" s="5" t="s">
        <v>1046</v>
      </c>
      <c r="C109" s="5" t="s">
        <v>1240</v>
      </c>
      <c r="D109" s="5" t="s">
        <v>1241</v>
      </c>
      <c r="E109" s="5" t="s">
        <v>1242</v>
      </c>
      <c r="F109" s="5" t="s">
        <v>46</v>
      </c>
      <c r="G109" s="5" t="s">
        <v>1050</v>
      </c>
      <c r="H109" s="5"/>
      <c r="I109" s="5" t="s">
        <v>46</v>
      </c>
    </row>
    <row r="110" customFormat="false" ht="77.6" hidden="false" customHeight="false" outlineLevel="0" collapsed="false">
      <c r="A110" s="5" t="s">
        <v>1243</v>
      </c>
      <c r="B110" s="5" t="s">
        <v>1046</v>
      </c>
      <c r="C110" s="5" t="s">
        <v>1244</v>
      </c>
      <c r="D110" s="5" t="s">
        <v>1245</v>
      </c>
      <c r="E110" s="5" t="s">
        <v>1246</v>
      </c>
      <c r="F110" s="5" t="s">
        <v>46</v>
      </c>
      <c r="G110" s="5" t="s">
        <v>1050</v>
      </c>
      <c r="H110" s="5"/>
      <c r="I110" s="5" t="s">
        <v>46</v>
      </c>
    </row>
    <row r="111" customFormat="false" ht="77.6" hidden="false" customHeight="false" outlineLevel="0" collapsed="false">
      <c r="A111" s="5" t="s">
        <v>1247</v>
      </c>
      <c r="B111" s="5" t="s">
        <v>1046</v>
      </c>
      <c r="C111" s="5" t="s">
        <v>1248</v>
      </c>
      <c r="D111" s="5" t="s">
        <v>1249</v>
      </c>
      <c r="E111" s="5" t="s">
        <v>1250</v>
      </c>
      <c r="F111" s="5" t="s">
        <v>46</v>
      </c>
      <c r="G111" s="5" t="s">
        <v>1050</v>
      </c>
      <c r="H111" s="5"/>
      <c r="I111" s="5" t="s">
        <v>46</v>
      </c>
    </row>
    <row r="112" customFormat="false" ht="26.85" hidden="false" customHeight="false" outlineLevel="0" collapsed="false">
      <c r="A112" s="5" t="s">
        <v>1251</v>
      </c>
      <c r="B112" s="5" t="s">
        <v>1077</v>
      </c>
      <c r="C112" s="5" t="s">
        <v>1252</v>
      </c>
      <c r="D112" s="5" t="s">
        <v>920</v>
      </c>
      <c r="E112" s="5" t="s">
        <v>1253</v>
      </c>
      <c r="F112" s="5" t="s">
        <v>46</v>
      </c>
      <c r="G112" s="5" t="s">
        <v>1050</v>
      </c>
      <c r="H112" s="5"/>
      <c r="I112" s="5" t="s">
        <v>46</v>
      </c>
    </row>
    <row r="113" customFormat="false" ht="26.85" hidden="false" customHeight="false" outlineLevel="0" collapsed="false">
      <c r="A113" s="5" t="s">
        <v>1254</v>
      </c>
      <c r="B113" s="5" t="s">
        <v>1077</v>
      </c>
      <c r="C113" s="5" t="s">
        <v>1255</v>
      </c>
      <c r="D113" s="5" t="s">
        <v>920</v>
      </c>
      <c r="E113" s="5" t="s">
        <v>1031</v>
      </c>
      <c r="F113" s="5" t="s">
        <v>46</v>
      </c>
      <c r="G113" s="5" t="s">
        <v>1050</v>
      </c>
      <c r="H113" s="5"/>
      <c r="I113" s="5" t="s">
        <v>46</v>
      </c>
    </row>
    <row r="114" customFormat="false" ht="52.2" hidden="false" customHeight="false" outlineLevel="0" collapsed="false">
      <c r="A114" s="5" t="s">
        <v>1256</v>
      </c>
      <c r="B114" s="5" t="s">
        <v>1077</v>
      </c>
      <c r="C114" s="5" t="s">
        <v>1257</v>
      </c>
      <c r="D114" s="5" t="s">
        <v>1258</v>
      </c>
      <c r="E114" s="5" t="s">
        <v>1259</v>
      </c>
      <c r="F114" s="5" t="s">
        <v>46</v>
      </c>
      <c r="G114" s="5" t="s">
        <v>1050</v>
      </c>
      <c r="H114" s="5"/>
      <c r="I114" s="5" t="s">
        <v>46</v>
      </c>
    </row>
    <row r="115" customFormat="false" ht="26.85" hidden="false" customHeight="false" outlineLevel="0" collapsed="false">
      <c r="A115" s="5" t="s">
        <v>1260</v>
      </c>
      <c r="B115" s="5" t="s">
        <v>1077</v>
      </c>
      <c r="C115" s="5" t="s">
        <v>1261</v>
      </c>
      <c r="D115" s="5" t="s">
        <v>920</v>
      </c>
      <c r="E115" s="5" t="s">
        <v>1253</v>
      </c>
      <c r="F115" s="5" t="s">
        <v>46</v>
      </c>
      <c r="G115" s="5" t="s">
        <v>1050</v>
      </c>
      <c r="H115" s="5"/>
      <c r="I115" s="5" t="s">
        <v>46</v>
      </c>
    </row>
    <row r="116" customFormat="false" ht="26.85" hidden="false" customHeight="false" outlineLevel="0" collapsed="false">
      <c r="A116" s="5" t="s">
        <v>1262</v>
      </c>
      <c r="B116" s="5" t="s">
        <v>966</v>
      </c>
      <c r="C116" s="5" t="s">
        <v>1263</v>
      </c>
      <c r="D116" s="5" t="s">
        <v>1264</v>
      </c>
      <c r="E116" s="5" t="s">
        <v>1265</v>
      </c>
      <c r="F116" s="5" t="s">
        <v>46</v>
      </c>
      <c r="G116" s="5" t="s">
        <v>1266</v>
      </c>
      <c r="H116" s="5"/>
      <c r="I116" s="5" t="s">
        <v>46</v>
      </c>
    </row>
    <row r="117" customFormat="false" ht="26.85" hidden="false" customHeight="false" outlineLevel="0" collapsed="false">
      <c r="A117" s="5" t="s">
        <v>1267</v>
      </c>
      <c r="B117" s="5" t="s">
        <v>1120</v>
      </c>
      <c r="C117" s="5" t="s">
        <v>1268</v>
      </c>
      <c r="D117" s="5" t="s">
        <v>1269</v>
      </c>
      <c r="E117" s="5" t="s">
        <v>1270</v>
      </c>
      <c r="F117" s="5" t="s">
        <v>46</v>
      </c>
      <c r="G117" s="5" t="s">
        <v>1266</v>
      </c>
      <c r="H117" s="5"/>
      <c r="I117" s="5" t="s">
        <v>46</v>
      </c>
    </row>
    <row r="118" customFormat="false" ht="52.2" hidden="false" customHeight="false" outlineLevel="0" collapsed="false">
      <c r="A118" s="5" t="s">
        <v>1271</v>
      </c>
      <c r="B118" s="5" t="s">
        <v>966</v>
      </c>
      <c r="C118" s="5" t="s">
        <v>1272</v>
      </c>
      <c r="D118" s="5" t="s">
        <v>1273</v>
      </c>
      <c r="E118" s="5" t="s">
        <v>1274</v>
      </c>
      <c r="F118" s="5" t="s">
        <v>46</v>
      </c>
      <c r="G118" s="5" t="s">
        <v>1266</v>
      </c>
      <c r="H118" s="5"/>
      <c r="I118" s="5" t="s">
        <v>46</v>
      </c>
    </row>
    <row r="119" customFormat="false" ht="39.55" hidden="false" customHeight="false" outlineLevel="0" collapsed="false">
      <c r="A119" s="5" t="s">
        <v>1275</v>
      </c>
      <c r="B119" s="5" t="s">
        <v>843</v>
      </c>
      <c r="C119" s="5" t="s">
        <v>1276</v>
      </c>
      <c r="D119" s="5" t="s">
        <v>1277</v>
      </c>
      <c r="E119" s="5" t="s">
        <v>1278</v>
      </c>
      <c r="F119" s="5" t="s">
        <v>46</v>
      </c>
      <c r="G119" s="5" t="s">
        <v>1266</v>
      </c>
      <c r="H119" s="5"/>
      <c r="I119" s="5" t="s">
        <v>46</v>
      </c>
    </row>
    <row r="120" customFormat="false" ht="64.9" hidden="false" customHeight="false" outlineLevel="0" collapsed="false">
      <c r="A120" s="5" t="s">
        <v>1279</v>
      </c>
      <c r="B120" s="5" t="s">
        <v>843</v>
      </c>
      <c r="C120" s="5" t="s">
        <v>1280</v>
      </c>
      <c r="D120" s="5" t="s">
        <v>1281</v>
      </c>
      <c r="E120" s="5" t="s">
        <v>1282</v>
      </c>
      <c r="F120" s="5" t="s">
        <v>46</v>
      </c>
      <c r="G120" s="5" t="s">
        <v>1266</v>
      </c>
      <c r="H120" s="5"/>
      <c r="I120" s="5" t="s">
        <v>46</v>
      </c>
    </row>
    <row r="121" customFormat="false" ht="39.55" hidden="false" customHeight="false" outlineLevel="0" collapsed="false">
      <c r="A121" s="5" t="s">
        <v>1283</v>
      </c>
      <c r="B121" s="5" t="s">
        <v>1284</v>
      </c>
      <c r="C121" s="5" t="s">
        <v>1285</v>
      </c>
      <c r="D121" s="5" t="s">
        <v>1286</v>
      </c>
      <c r="E121" s="5" t="s">
        <v>1287</v>
      </c>
      <c r="F121" s="5" t="s">
        <v>46</v>
      </c>
      <c r="G121" s="5" t="s">
        <v>1266</v>
      </c>
      <c r="H121" s="5"/>
      <c r="I121" s="5" t="s">
        <v>46</v>
      </c>
    </row>
    <row r="122" customFormat="false" ht="15" hidden="false" customHeight="false" outlineLevel="0" collapsed="false">
      <c r="A122" s="5" t="s">
        <v>1288</v>
      </c>
      <c r="B122" s="5" t="s">
        <v>1289</v>
      </c>
      <c r="C122" s="5" t="s">
        <v>1290</v>
      </c>
      <c r="D122" s="5" t="s">
        <v>1291</v>
      </c>
      <c r="E122" s="5" t="s">
        <v>1292</v>
      </c>
      <c r="F122" s="5" t="s">
        <v>46</v>
      </c>
      <c r="G122" s="5" t="s">
        <v>1266</v>
      </c>
      <c r="H122" s="5"/>
      <c r="I122" s="5" t="s">
        <v>46</v>
      </c>
    </row>
    <row r="123" customFormat="false" ht="39.55" hidden="false" customHeight="false" outlineLevel="0" collapsed="false">
      <c r="A123" s="5" t="s">
        <v>1293</v>
      </c>
      <c r="B123" s="5" t="s">
        <v>979</v>
      </c>
      <c r="C123" s="5" t="s">
        <v>1294</v>
      </c>
      <c r="D123" s="5" t="s">
        <v>989</v>
      </c>
      <c r="E123" s="5" t="s">
        <v>990</v>
      </c>
      <c r="F123" s="5" t="s">
        <v>46</v>
      </c>
      <c r="G123" s="5" t="s">
        <v>1266</v>
      </c>
      <c r="H123" s="5"/>
      <c r="I123" s="5" t="s">
        <v>46</v>
      </c>
    </row>
    <row r="124" customFormat="false" ht="39.55" hidden="false" customHeight="false" outlineLevel="0" collapsed="false">
      <c r="A124" s="5" t="s">
        <v>1295</v>
      </c>
      <c r="B124" s="5" t="s">
        <v>979</v>
      </c>
      <c r="C124" s="5" t="s">
        <v>1296</v>
      </c>
      <c r="D124" s="5" t="s">
        <v>989</v>
      </c>
      <c r="E124" s="5" t="s">
        <v>990</v>
      </c>
      <c r="F124" s="5" t="s">
        <v>46</v>
      </c>
      <c r="G124" s="5" t="s">
        <v>1266</v>
      </c>
      <c r="H124" s="5"/>
      <c r="I124" s="5" t="s">
        <v>46</v>
      </c>
    </row>
    <row r="125" customFormat="false" ht="39.55" hidden="false" customHeight="false" outlineLevel="0" collapsed="false">
      <c r="A125" s="5" t="s">
        <v>1297</v>
      </c>
      <c r="B125" s="5" t="s">
        <v>979</v>
      </c>
      <c r="C125" s="5" t="s">
        <v>1298</v>
      </c>
      <c r="D125" s="5" t="s">
        <v>989</v>
      </c>
      <c r="E125" s="5" t="s">
        <v>990</v>
      </c>
      <c r="F125" s="5" t="s">
        <v>46</v>
      </c>
      <c r="G125" s="5" t="s">
        <v>1266</v>
      </c>
      <c r="H125" s="5"/>
      <c r="I125" s="5" t="s">
        <v>46</v>
      </c>
    </row>
    <row r="126" customFormat="false" ht="26.85" hidden="false" customHeight="false" outlineLevel="0" collapsed="false">
      <c r="A126" s="5" t="s">
        <v>1299</v>
      </c>
      <c r="B126" s="5" t="s">
        <v>914</v>
      </c>
      <c r="C126" s="5" t="s">
        <v>1300</v>
      </c>
      <c r="D126" s="5" t="s">
        <v>920</v>
      </c>
      <c r="E126" s="5" t="s">
        <v>1301</v>
      </c>
      <c r="F126" s="5" t="s">
        <v>46</v>
      </c>
      <c r="G126" s="5" t="s">
        <v>1266</v>
      </c>
      <c r="H126" s="5"/>
      <c r="I126" s="5" t="s">
        <v>46</v>
      </c>
    </row>
    <row r="127" customFormat="false" ht="26.85" hidden="false" customHeight="false" outlineLevel="0" collapsed="false">
      <c r="A127" s="5" t="s">
        <v>1302</v>
      </c>
      <c r="B127" s="5" t="s">
        <v>914</v>
      </c>
      <c r="C127" s="5" t="s">
        <v>1303</v>
      </c>
      <c r="D127" s="5" t="s">
        <v>1304</v>
      </c>
      <c r="E127" s="5" t="s">
        <v>1305</v>
      </c>
      <c r="F127" s="5" t="s">
        <v>46</v>
      </c>
      <c r="G127" s="5" t="s">
        <v>1266</v>
      </c>
      <c r="H127" s="5"/>
      <c r="I127" s="5" t="s">
        <v>46</v>
      </c>
    </row>
    <row r="128" customFormat="false" ht="39.55" hidden="false" customHeight="false" outlineLevel="0" collapsed="false">
      <c r="A128" s="5" t="s">
        <v>1306</v>
      </c>
      <c r="B128" s="5" t="s">
        <v>869</v>
      </c>
      <c r="C128" s="5" t="s">
        <v>1307</v>
      </c>
      <c r="D128" s="5" t="s">
        <v>920</v>
      </c>
      <c r="E128" s="5" t="s">
        <v>907</v>
      </c>
      <c r="F128" s="5" t="s">
        <v>881</v>
      </c>
      <c r="G128" s="5" t="s">
        <v>1266</v>
      </c>
      <c r="H128" s="5" t="s">
        <v>908</v>
      </c>
      <c r="I128" s="5" t="s">
        <v>883</v>
      </c>
    </row>
    <row r="129" customFormat="false" ht="26.85" hidden="false" customHeight="false" outlineLevel="0" collapsed="false">
      <c r="A129" s="5" t="s">
        <v>1308</v>
      </c>
      <c r="B129" s="5" t="s">
        <v>869</v>
      </c>
      <c r="C129" s="5" t="s">
        <v>1309</v>
      </c>
      <c r="D129" s="5" t="s">
        <v>940</v>
      </c>
      <c r="E129" s="5" t="s">
        <v>1310</v>
      </c>
      <c r="F129" s="5" t="s">
        <v>881</v>
      </c>
      <c r="G129" s="5" t="s">
        <v>1266</v>
      </c>
      <c r="H129" s="5" t="s">
        <v>1311</v>
      </c>
      <c r="I129" s="5" t="s">
        <v>883</v>
      </c>
    </row>
    <row r="130" customFormat="false" ht="15" hidden="false" customHeight="false" outlineLevel="0" collapsed="false">
      <c r="A130" s="5" t="s">
        <v>1312</v>
      </c>
      <c r="B130" s="5" t="s">
        <v>869</v>
      </c>
      <c r="C130" s="5" t="s">
        <v>1313</v>
      </c>
      <c r="D130" s="5" t="s">
        <v>911</v>
      </c>
      <c r="E130" s="5" t="s">
        <v>907</v>
      </c>
      <c r="F130" s="5" t="s">
        <v>46</v>
      </c>
      <c r="G130" s="5" t="s">
        <v>1266</v>
      </c>
      <c r="H130" s="5"/>
      <c r="I130" s="5" t="s">
        <v>46</v>
      </c>
    </row>
    <row r="131" customFormat="false" ht="15" hidden="false" customHeight="false" outlineLevel="0" collapsed="false">
      <c r="A131" s="5" t="s">
        <v>1314</v>
      </c>
      <c r="B131" s="5" t="s">
        <v>1315</v>
      </c>
      <c r="C131" s="5" t="s">
        <v>1316</v>
      </c>
      <c r="D131" s="5" t="s">
        <v>1317</v>
      </c>
      <c r="E131" s="5" t="s">
        <v>1318</v>
      </c>
      <c r="F131" s="5" t="s">
        <v>46</v>
      </c>
      <c r="G131" s="5" t="s">
        <v>1319</v>
      </c>
      <c r="H131" s="5"/>
      <c r="I131" s="5" t="s">
        <v>46</v>
      </c>
    </row>
    <row r="132" customFormat="false" ht="39.55" hidden="false" customHeight="false" outlineLevel="0" collapsed="false">
      <c r="A132" s="5" t="s">
        <v>1320</v>
      </c>
      <c r="B132" s="5" t="s">
        <v>1321</v>
      </c>
      <c r="C132" s="5" t="s">
        <v>1322</v>
      </c>
      <c r="D132" s="5" t="s">
        <v>1323</v>
      </c>
      <c r="E132" s="5" t="s">
        <v>1324</v>
      </c>
      <c r="F132" s="5" t="s">
        <v>881</v>
      </c>
      <c r="G132" s="5" t="s">
        <v>1319</v>
      </c>
      <c r="H132" s="5" t="s">
        <v>1325</v>
      </c>
      <c r="I132" s="5" t="s">
        <v>26</v>
      </c>
    </row>
    <row r="133" customFormat="false" ht="26.85" hidden="false" customHeight="false" outlineLevel="0" collapsed="false">
      <c r="A133" s="5" t="s">
        <v>1326</v>
      </c>
      <c r="B133" s="5" t="s">
        <v>1327</v>
      </c>
      <c r="C133" s="5" t="s">
        <v>1328</v>
      </c>
      <c r="D133" s="5" t="s">
        <v>1329</v>
      </c>
      <c r="E133" s="5" t="s">
        <v>1330</v>
      </c>
      <c r="F133" s="5" t="s">
        <v>46</v>
      </c>
      <c r="G133" s="5" t="s">
        <v>1319</v>
      </c>
      <c r="H133" s="5"/>
      <c r="I133" s="5" t="s">
        <v>46</v>
      </c>
    </row>
    <row r="134" customFormat="false" ht="26.85" hidden="false" customHeight="false" outlineLevel="0" collapsed="false">
      <c r="A134" s="5" t="s">
        <v>1331</v>
      </c>
      <c r="B134" s="5" t="s">
        <v>1332</v>
      </c>
      <c r="C134" s="5" t="s">
        <v>1333</v>
      </c>
      <c r="D134" s="5" t="s">
        <v>1334</v>
      </c>
      <c r="E134" s="5" t="s">
        <v>1335</v>
      </c>
      <c r="F134" s="5" t="s">
        <v>46</v>
      </c>
      <c r="G134" s="5" t="s">
        <v>1319</v>
      </c>
      <c r="H134" s="5"/>
      <c r="I134" s="5" t="s">
        <v>46</v>
      </c>
    </row>
    <row r="135" customFormat="false" ht="26.85" hidden="false" customHeight="false" outlineLevel="0" collapsed="false">
      <c r="A135" s="5" t="s">
        <v>1336</v>
      </c>
      <c r="B135" s="5" t="s">
        <v>1332</v>
      </c>
      <c r="C135" s="5" t="s">
        <v>1337</v>
      </c>
      <c r="D135" s="5" t="s">
        <v>1338</v>
      </c>
      <c r="E135" s="5" t="s">
        <v>1339</v>
      </c>
      <c r="F135" s="5" t="s">
        <v>46</v>
      </c>
      <c r="G135" s="5" t="s">
        <v>1319</v>
      </c>
      <c r="H135" s="5"/>
      <c r="I135" s="5" t="s">
        <v>46</v>
      </c>
    </row>
    <row r="136" customFormat="false" ht="26.85" hidden="false" customHeight="false" outlineLevel="0" collapsed="false">
      <c r="A136" s="5" t="s">
        <v>1340</v>
      </c>
      <c r="B136" s="5" t="s">
        <v>1332</v>
      </c>
      <c r="C136" s="5" t="s">
        <v>1341</v>
      </c>
      <c r="D136" s="5" t="s">
        <v>1342</v>
      </c>
      <c r="E136" s="5" t="s">
        <v>1343</v>
      </c>
      <c r="F136" s="5" t="s">
        <v>46</v>
      </c>
      <c r="G136" s="5" t="s">
        <v>1319</v>
      </c>
      <c r="H136" s="5"/>
      <c r="I136" s="5" t="s">
        <v>46</v>
      </c>
    </row>
    <row r="137" customFormat="false" ht="77.6" hidden="false" customHeight="false" outlineLevel="0" collapsed="false">
      <c r="A137" s="5" t="s">
        <v>1344</v>
      </c>
      <c r="B137" s="5" t="s">
        <v>1345</v>
      </c>
      <c r="C137" s="5" t="s">
        <v>1346</v>
      </c>
      <c r="D137" s="5" t="s">
        <v>1347</v>
      </c>
      <c r="E137" s="5" t="s">
        <v>1348</v>
      </c>
      <c r="F137" s="5" t="s">
        <v>46</v>
      </c>
      <c r="G137" s="5" t="s">
        <v>1349</v>
      </c>
      <c r="H137" s="5"/>
      <c r="I137" s="5" t="s">
        <v>46</v>
      </c>
    </row>
    <row r="138" customFormat="false" ht="15" hidden="false" customHeight="false" outlineLevel="0" collapsed="false">
      <c r="A138" s="5" t="s">
        <v>1350</v>
      </c>
      <c r="B138" s="5" t="s">
        <v>1345</v>
      </c>
      <c r="C138" s="5" t="s">
        <v>1351</v>
      </c>
      <c r="D138" s="5" t="s">
        <v>1352</v>
      </c>
      <c r="E138" s="5" t="s">
        <v>1353</v>
      </c>
      <c r="F138" s="5" t="s">
        <v>46</v>
      </c>
      <c r="G138" s="5" t="s">
        <v>1349</v>
      </c>
      <c r="H138" s="5"/>
      <c r="I138" s="5" t="s">
        <v>46</v>
      </c>
    </row>
    <row r="139" customFormat="false" ht="26.85" hidden="false" customHeight="false" outlineLevel="0" collapsed="false">
      <c r="A139" s="5" t="s">
        <v>1354</v>
      </c>
      <c r="B139" s="5" t="s">
        <v>1345</v>
      </c>
      <c r="C139" s="5" t="s">
        <v>1355</v>
      </c>
      <c r="D139" s="5" t="s">
        <v>1356</v>
      </c>
      <c r="E139" s="5" t="s">
        <v>1357</v>
      </c>
      <c r="F139" s="5" t="s">
        <v>46</v>
      </c>
      <c r="G139" s="5" t="s">
        <v>1349</v>
      </c>
      <c r="H139" s="5"/>
      <c r="I139" s="5" t="s">
        <v>46</v>
      </c>
    </row>
    <row r="140" customFormat="false" ht="15" hidden="false" customHeight="false" outlineLevel="0" collapsed="false">
      <c r="A140" s="5" t="s">
        <v>1358</v>
      </c>
      <c r="B140" s="5" t="s">
        <v>1345</v>
      </c>
      <c r="C140" s="5" t="s">
        <v>1359</v>
      </c>
      <c r="D140" s="5" t="s">
        <v>1360</v>
      </c>
      <c r="E140" s="5" t="s">
        <v>1361</v>
      </c>
      <c r="F140" s="5" t="s">
        <v>46</v>
      </c>
      <c r="G140" s="5" t="s">
        <v>1349</v>
      </c>
      <c r="H140" s="5"/>
      <c r="I140" s="5" t="s">
        <v>46</v>
      </c>
    </row>
    <row r="141" customFormat="false" ht="15" hidden="false" customHeight="false" outlineLevel="0" collapsed="false">
      <c r="A141" s="5" t="s">
        <v>1362</v>
      </c>
      <c r="B141" s="5" t="s">
        <v>1345</v>
      </c>
      <c r="C141" s="5" t="s">
        <v>1363</v>
      </c>
      <c r="D141" s="5" t="s">
        <v>1364</v>
      </c>
      <c r="E141" s="5" t="s">
        <v>1365</v>
      </c>
      <c r="F141" s="5" t="s">
        <v>46</v>
      </c>
      <c r="G141" s="5" t="s">
        <v>1349</v>
      </c>
      <c r="H141" s="5"/>
      <c r="I141" s="5" t="s">
        <v>46</v>
      </c>
    </row>
    <row r="142" customFormat="false" ht="77.6" hidden="false" customHeight="false" outlineLevel="0" collapsed="false">
      <c r="A142" s="5" t="s">
        <v>1366</v>
      </c>
      <c r="B142" s="5" t="s">
        <v>1345</v>
      </c>
      <c r="C142" s="5" t="s">
        <v>1367</v>
      </c>
      <c r="D142" s="5" t="s">
        <v>1368</v>
      </c>
      <c r="E142" s="5" t="s">
        <v>1369</v>
      </c>
      <c r="F142" s="5" t="s">
        <v>46</v>
      </c>
      <c r="G142" s="5" t="s">
        <v>1349</v>
      </c>
      <c r="H142" s="5"/>
      <c r="I142" s="5" t="s">
        <v>46</v>
      </c>
    </row>
    <row r="143" customFormat="false" ht="52.2" hidden="false" customHeight="false" outlineLevel="0" collapsed="false">
      <c r="A143" s="5" t="s">
        <v>1370</v>
      </c>
      <c r="B143" s="5" t="s">
        <v>1371</v>
      </c>
      <c r="C143" s="5" t="s">
        <v>1372</v>
      </c>
      <c r="D143" s="5" t="s">
        <v>1373</v>
      </c>
      <c r="E143" s="5" t="s">
        <v>1374</v>
      </c>
      <c r="F143" s="5" t="s">
        <v>46</v>
      </c>
      <c r="G143" s="5" t="s">
        <v>1349</v>
      </c>
      <c r="H143" s="5"/>
      <c r="I143" s="5" t="s">
        <v>46</v>
      </c>
    </row>
    <row r="144" customFormat="false" ht="64.9" hidden="false" customHeight="false" outlineLevel="0" collapsed="false">
      <c r="A144" s="5" t="s">
        <v>1375</v>
      </c>
      <c r="B144" s="5" t="s">
        <v>1376</v>
      </c>
      <c r="C144" s="5" t="s">
        <v>1377</v>
      </c>
      <c r="D144" s="5" t="s">
        <v>1378</v>
      </c>
      <c r="E144" s="5" t="s">
        <v>1379</v>
      </c>
      <c r="F144" s="5" t="s">
        <v>46</v>
      </c>
      <c r="G144" s="5" t="s">
        <v>1349</v>
      </c>
      <c r="H144" s="5"/>
      <c r="I144" s="5" t="s">
        <v>46</v>
      </c>
    </row>
    <row r="145" customFormat="false" ht="39.55" hidden="false" customHeight="false" outlineLevel="0" collapsed="false">
      <c r="A145" s="5" t="s">
        <v>1380</v>
      </c>
      <c r="B145" s="5" t="s">
        <v>1381</v>
      </c>
      <c r="C145" s="5" t="s">
        <v>1382</v>
      </c>
      <c r="D145" s="5" t="s">
        <v>1383</v>
      </c>
      <c r="E145" s="5" t="s">
        <v>1384</v>
      </c>
      <c r="F145" s="5" t="s">
        <v>46</v>
      </c>
      <c r="G145" s="5" t="s">
        <v>1349</v>
      </c>
      <c r="H145" s="5"/>
      <c r="I145" s="5" t="s">
        <v>46</v>
      </c>
    </row>
    <row r="146" customFormat="false" ht="52.2" hidden="false" customHeight="false" outlineLevel="0" collapsed="false">
      <c r="A146" s="5" t="s">
        <v>1385</v>
      </c>
      <c r="B146" s="5" t="s">
        <v>1289</v>
      </c>
      <c r="C146" s="5" t="s">
        <v>1386</v>
      </c>
      <c r="D146" s="5" t="s">
        <v>1387</v>
      </c>
      <c r="E146" s="5" t="s">
        <v>1388</v>
      </c>
      <c r="F146" s="5" t="s">
        <v>46</v>
      </c>
      <c r="G146" s="5" t="s">
        <v>1349</v>
      </c>
      <c r="H146" s="5"/>
      <c r="I146" s="5" t="s">
        <v>46</v>
      </c>
    </row>
    <row r="147" customFormat="false" ht="15" hidden="false" customHeight="false" outlineLevel="0" collapsed="false">
      <c r="A147" s="5" t="s">
        <v>1389</v>
      </c>
      <c r="B147" s="5" t="s">
        <v>1289</v>
      </c>
      <c r="C147" s="5" t="s">
        <v>1390</v>
      </c>
      <c r="D147" s="5" t="s">
        <v>1391</v>
      </c>
      <c r="E147" s="5" t="s">
        <v>1392</v>
      </c>
      <c r="F147" s="5" t="s">
        <v>46</v>
      </c>
      <c r="G147" s="5" t="s">
        <v>1349</v>
      </c>
      <c r="H147" s="5"/>
      <c r="I147" s="5" t="s">
        <v>46</v>
      </c>
    </row>
    <row r="148" customFormat="false" ht="15" hidden="false" customHeight="false" outlineLevel="0" collapsed="false">
      <c r="A148" s="5" t="s">
        <v>1393</v>
      </c>
      <c r="B148" s="5" t="s">
        <v>1381</v>
      </c>
      <c r="C148" s="5" t="s">
        <v>1394</v>
      </c>
      <c r="D148" s="5" t="s">
        <v>940</v>
      </c>
      <c r="E148" s="5" t="s">
        <v>941</v>
      </c>
      <c r="F148" s="5" t="s">
        <v>46</v>
      </c>
      <c r="G148" s="5" t="s">
        <v>1395</v>
      </c>
      <c r="H148" s="5"/>
      <c r="I148" s="5" t="s">
        <v>46</v>
      </c>
    </row>
    <row r="149" customFormat="false" ht="15" hidden="false" customHeight="false" outlineLevel="0" collapsed="false">
      <c r="A149" s="5" t="s">
        <v>1396</v>
      </c>
      <c r="B149" s="5" t="s">
        <v>1381</v>
      </c>
      <c r="C149" s="5" t="s">
        <v>1397</v>
      </c>
      <c r="D149" s="5" t="s">
        <v>940</v>
      </c>
      <c r="E149" s="5" t="s">
        <v>941</v>
      </c>
      <c r="F149" s="5" t="s">
        <v>46</v>
      </c>
      <c r="G149" s="5" t="s">
        <v>1395</v>
      </c>
      <c r="H149" s="5"/>
      <c r="I149" s="5" t="s">
        <v>46</v>
      </c>
    </row>
    <row r="150" customFormat="false" ht="39.55" hidden="false" customHeight="false" outlineLevel="0" collapsed="false">
      <c r="A150" s="5" t="s">
        <v>1398</v>
      </c>
      <c r="B150" s="5" t="s">
        <v>1381</v>
      </c>
      <c r="C150" s="5" t="s">
        <v>1399</v>
      </c>
      <c r="D150" s="5" t="s">
        <v>1400</v>
      </c>
      <c r="E150" s="5" t="s">
        <v>1401</v>
      </c>
      <c r="F150" s="5" t="s">
        <v>46</v>
      </c>
      <c r="G150" s="5" t="s">
        <v>1395</v>
      </c>
      <c r="H150" s="5"/>
      <c r="I150" s="5" t="s">
        <v>46</v>
      </c>
    </row>
    <row r="151" customFormat="false" ht="39.55" hidden="false" customHeight="false" outlineLevel="0" collapsed="false">
      <c r="A151" s="5" t="s">
        <v>1402</v>
      </c>
      <c r="B151" s="5" t="s">
        <v>1381</v>
      </c>
      <c r="C151" s="5" t="s">
        <v>1403</v>
      </c>
      <c r="D151" s="5" t="s">
        <v>920</v>
      </c>
      <c r="E151" s="5" t="s">
        <v>1401</v>
      </c>
      <c r="F151" s="5" t="s">
        <v>46</v>
      </c>
      <c r="G151" s="5" t="s">
        <v>1395</v>
      </c>
      <c r="H151" s="5"/>
      <c r="I151" s="5" t="s">
        <v>46</v>
      </c>
    </row>
    <row r="152" customFormat="false" ht="26.85" hidden="false" customHeight="false" outlineLevel="0" collapsed="false">
      <c r="A152" s="5" t="s">
        <v>1404</v>
      </c>
      <c r="B152" s="5" t="s">
        <v>1381</v>
      </c>
      <c r="C152" s="5" t="s">
        <v>1405</v>
      </c>
      <c r="D152" s="5" t="s">
        <v>911</v>
      </c>
      <c r="E152" s="5" t="s">
        <v>1406</v>
      </c>
      <c r="F152" s="5" t="s">
        <v>46</v>
      </c>
      <c r="G152" s="5" t="s">
        <v>1395</v>
      </c>
      <c r="H152" s="5"/>
      <c r="I152" s="5" t="s">
        <v>46</v>
      </c>
    </row>
    <row r="153" customFormat="false" ht="39.55" hidden="false" customHeight="false" outlineLevel="0" collapsed="false">
      <c r="A153" s="5" t="s">
        <v>1407</v>
      </c>
      <c r="B153" s="5" t="s">
        <v>1381</v>
      </c>
      <c r="C153" s="5" t="s">
        <v>1408</v>
      </c>
      <c r="D153" s="5" t="s">
        <v>940</v>
      </c>
      <c r="E153" s="5" t="s">
        <v>1409</v>
      </c>
      <c r="F153" s="5" t="s">
        <v>46</v>
      </c>
      <c r="G153" s="5" t="s">
        <v>1395</v>
      </c>
      <c r="H153" s="5"/>
      <c r="I153" s="5" t="s">
        <v>46</v>
      </c>
    </row>
    <row r="154" customFormat="false" ht="39.55" hidden="false" customHeight="false" outlineLevel="0" collapsed="false">
      <c r="A154" s="5" t="s">
        <v>1410</v>
      </c>
      <c r="B154" s="5" t="s">
        <v>1381</v>
      </c>
      <c r="C154" s="5" t="s">
        <v>1411</v>
      </c>
      <c r="D154" s="5" t="s">
        <v>940</v>
      </c>
      <c r="E154" s="5" t="s">
        <v>1409</v>
      </c>
      <c r="F154" s="5" t="s">
        <v>46</v>
      </c>
      <c r="G154" s="5" t="s">
        <v>1395</v>
      </c>
      <c r="H154" s="5"/>
      <c r="I154" s="5" t="s">
        <v>46</v>
      </c>
    </row>
    <row r="155" customFormat="false" ht="15" hidden="false" customHeight="false" outlineLevel="0" collapsed="false">
      <c r="A155" s="5" t="s">
        <v>1412</v>
      </c>
      <c r="B155" s="5" t="s">
        <v>1381</v>
      </c>
      <c r="C155" s="5" t="s">
        <v>1413</v>
      </c>
      <c r="D155" s="5" t="s">
        <v>920</v>
      </c>
      <c r="E155" s="5" t="s">
        <v>1414</v>
      </c>
      <c r="F155" s="5" t="s">
        <v>46</v>
      </c>
      <c r="G155" s="5" t="s">
        <v>1395</v>
      </c>
      <c r="H155" s="5"/>
      <c r="I155" s="5" t="s">
        <v>46</v>
      </c>
    </row>
    <row r="156" customFormat="false" ht="39.55" hidden="false" customHeight="false" outlineLevel="0" collapsed="false">
      <c r="A156" s="5" t="s">
        <v>1415</v>
      </c>
      <c r="B156" s="5" t="s">
        <v>1381</v>
      </c>
      <c r="C156" s="5" t="s">
        <v>1416</v>
      </c>
      <c r="D156" s="5" t="s">
        <v>1417</v>
      </c>
      <c r="E156" s="5" t="s">
        <v>1418</v>
      </c>
      <c r="F156" s="5" t="s">
        <v>46</v>
      </c>
      <c r="G156" s="5" t="s">
        <v>1395</v>
      </c>
      <c r="H156" s="5"/>
      <c r="I156" s="5" t="s">
        <v>46</v>
      </c>
    </row>
    <row r="157" customFormat="false" ht="39.55" hidden="false" customHeight="false" outlineLevel="0" collapsed="false">
      <c r="A157" s="5" t="s">
        <v>1419</v>
      </c>
      <c r="B157" s="5" t="s">
        <v>1381</v>
      </c>
      <c r="C157" s="5" t="s">
        <v>1420</v>
      </c>
      <c r="D157" s="5" t="s">
        <v>1417</v>
      </c>
      <c r="E157" s="5" t="s">
        <v>1418</v>
      </c>
      <c r="F157" s="5" t="s">
        <v>46</v>
      </c>
      <c r="G157" s="5" t="s">
        <v>1395</v>
      </c>
      <c r="H157" s="5"/>
      <c r="I157" s="5" t="s">
        <v>46</v>
      </c>
    </row>
    <row r="158" customFormat="false" ht="39.55" hidden="false" customHeight="false" outlineLevel="0" collapsed="false">
      <c r="A158" s="5" t="s">
        <v>1421</v>
      </c>
      <c r="B158" s="5" t="s">
        <v>1381</v>
      </c>
      <c r="C158" s="5" t="s">
        <v>1422</v>
      </c>
      <c r="D158" s="5" t="s">
        <v>1417</v>
      </c>
      <c r="E158" s="5" t="s">
        <v>1418</v>
      </c>
      <c r="F158" s="5" t="s">
        <v>46</v>
      </c>
      <c r="G158" s="5" t="s">
        <v>1395</v>
      </c>
      <c r="H158" s="5"/>
      <c r="I158" s="5" t="s">
        <v>46</v>
      </c>
    </row>
    <row r="159" customFormat="false" ht="39.55" hidden="false" customHeight="false" outlineLevel="0" collapsed="false">
      <c r="A159" s="5" t="s">
        <v>1423</v>
      </c>
      <c r="B159" s="5" t="s">
        <v>1381</v>
      </c>
      <c r="C159" s="5" t="s">
        <v>1424</v>
      </c>
      <c r="D159" s="5" t="s">
        <v>1417</v>
      </c>
      <c r="E159" s="5" t="s">
        <v>1418</v>
      </c>
      <c r="F159" s="5" t="s">
        <v>46</v>
      </c>
      <c r="G159" s="5" t="s">
        <v>1395</v>
      </c>
      <c r="H159" s="5"/>
      <c r="I159" s="5" t="s">
        <v>46</v>
      </c>
    </row>
    <row r="160" customFormat="false" ht="39.55" hidden="false" customHeight="false" outlineLevel="0" collapsed="false">
      <c r="A160" s="5" t="s">
        <v>1425</v>
      </c>
      <c r="B160" s="5" t="s">
        <v>1381</v>
      </c>
      <c r="C160" s="5" t="s">
        <v>1426</v>
      </c>
      <c r="D160" s="5" t="s">
        <v>1417</v>
      </c>
      <c r="E160" s="5" t="s">
        <v>1418</v>
      </c>
      <c r="F160" s="5" t="s">
        <v>46</v>
      </c>
      <c r="G160" s="5" t="s">
        <v>1395</v>
      </c>
      <c r="H160" s="5"/>
      <c r="I160" s="5" t="s">
        <v>46</v>
      </c>
    </row>
    <row r="161" customFormat="false" ht="39.55" hidden="false" customHeight="false" outlineLevel="0" collapsed="false">
      <c r="A161" s="5" t="s">
        <v>1427</v>
      </c>
      <c r="B161" s="5" t="s">
        <v>1381</v>
      </c>
      <c r="C161" s="5" t="s">
        <v>1428</v>
      </c>
      <c r="D161" s="5" t="s">
        <v>1417</v>
      </c>
      <c r="E161" s="5" t="s">
        <v>1418</v>
      </c>
      <c r="F161" s="5" t="s">
        <v>46</v>
      </c>
      <c r="G161" s="5" t="s">
        <v>1395</v>
      </c>
      <c r="H161" s="5"/>
      <c r="I161" s="5" t="s">
        <v>46</v>
      </c>
    </row>
    <row r="162" customFormat="false" ht="39.55" hidden="false" customHeight="false" outlineLevel="0" collapsed="false">
      <c r="A162" s="5" t="s">
        <v>1429</v>
      </c>
      <c r="B162" s="5" t="s">
        <v>1381</v>
      </c>
      <c r="C162" s="5" t="s">
        <v>1430</v>
      </c>
      <c r="D162" s="5" t="s">
        <v>1417</v>
      </c>
      <c r="E162" s="5" t="s">
        <v>1418</v>
      </c>
      <c r="F162" s="5" t="s">
        <v>46</v>
      </c>
      <c r="G162" s="5" t="s">
        <v>1395</v>
      </c>
      <c r="H162" s="5"/>
      <c r="I162" s="5" t="s">
        <v>46</v>
      </c>
    </row>
    <row r="163" customFormat="false" ht="39.55" hidden="false" customHeight="false" outlineLevel="0" collapsed="false">
      <c r="A163" s="5" t="s">
        <v>1431</v>
      </c>
      <c r="B163" s="5" t="s">
        <v>1381</v>
      </c>
      <c r="C163" s="5" t="s">
        <v>1432</v>
      </c>
      <c r="D163" s="5" t="s">
        <v>1417</v>
      </c>
      <c r="E163" s="5" t="s">
        <v>1418</v>
      </c>
      <c r="F163" s="5" t="s">
        <v>46</v>
      </c>
      <c r="G163" s="5" t="s">
        <v>1395</v>
      </c>
      <c r="H163" s="5"/>
      <c r="I163" s="5" t="s">
        <v>46</v>
      </c>
    </row>
    <row r="164" customFormat="false" ht="39.55" hidden="false" customHeight="false" outlineLevel="0" collapsed="false">
      <c r="A164" s="5" t="s">
        <v>1433</v>
      </c>
      <c r="B164" s="5" t="s">
        <v>1381</v>
      </c>
      <c r="C164" s="5" t="s">
        <v>1434</v>
      </c>
      <c r="D164" s="5" t="s">
        <v>1417</v>
      </c>
      <c r="E164" s="5" t="s">
        <v>1418</v>
      </c>
      <c r="F164" s="5" t="s">
        <v>46</v>
      </c>
      <c r="G164" s="5" t="s">
        <v>1395</v>
      </c>
      <c r="H164" s="5"/>
      <c r="I164" s="5" t="s">
        <v>46</v>
      </c>
    </row>
    <row r="165" customFormat="false" ht="39.55" hidden="false" customHeight="false" outlineLevel="0" collapsed="false">
      <c r="A165" s="5" t="s">
        <v>1435</v>
      </c>
      <c r="B165" s="5" t="s">
        <v>1381</v>
      </c>
      <c r="C165" s="5" t="s">
        <v>1436</v>
      </c>
      <c r="D165" s="5" t="s">
        <v>1417</v>
      </c>
      <c r="E165" s="5" t="s">
        <v>1418</v>
      </c>
      <c r="F165" s="5" t="s">
        <v>46</v>
      </c>
      <c r="G165" s="5" t="s">
        <v>1395</v>
      </c>
      <c r="H165" s="5"/>
      <c r="I165" s="5" t="s">
        <v>46</v>
      </c>
    </row>
    <row r="166" customFormat="false" ht="39.55" hidden="false" customHeight="false" outlineLevel="0" collapsed="false">
      <c r="A166" s="5" t="s">
        <v>1437</v>
      </c>
      <c r="B166" s="5" t="s">
        <v>1381</v>
      </c>
      <c r="C166" s="5" t="s">
        <v>1438</v>
      </c>
      <c r="D166" s="5" t="s">
        <v>1417</v>
      </c>
      <c r="E166" s="5" t="s">
        <v>1418</v>
      </c>
      <c r="F166" s="5" t="s">
        <v>46</v>
      </c>
      <c r="G166" s="5" t="s">
        <v>1395</v>
      </c>
      <c r="H166" s="5"/>
      <c r="I166" s="5" t="s">
        <v>46</v>
      </c>
    </row>
    <row r="167" customFormat="false" ht="52.2" hidden="false" customHeight="false" outlineLevel="0" collapsed="false">
      <c r="A167" s="5" t="s">
        <v>1439</v>
      </c>
      <c r="B167" s="5" t="s">
        <v>1381</v>
      </c>
      <c r="C167" s="5" t="s">
        <v>1440</v>
      </c>
      <c r="D167" s="5" t="s">
        <v>1417</v>
      </c>
      <c r="E167" s="5" t="s">
        <v>1441</v>
      </c>
      <c r="F167" s="5" t="s">
        <v>46</v>
      </c>
      <c r="G167" s="5" t="s">
        <v>1395</v>
      </c>
      <c r="H167" s="5"/>
      <c r="I167" s="5" t="s">
        <v>46</v>
      </c>
    </row>
    <row r="168" customFormat="false" ht="26.85" hidden="false" customHeight="false" outlineLevel="0" collapsed="false">
      <c r="A168" s="5" t="s">
        <v>1442</v>
      </c>
      <c r="B168" s="5" t="s">
        <v>1381</v>
      </c>
      <c r="C168" s="5" t="s">
        <v>1443</v>
      </c>
      <c r="D168" s="5" t="s">
        <v>1444</v>
      </c>
      <c r="E168" s="5" t="s">
        <v>1445</v>
      </c>
      <c r="F168" s="5" t="s">
        <v>46</v>
      </c>
      <c r="G168" s="5" t="s">
        <v>1395</v>
      </c>
      <c r="H168" s="5"/>
      <c r="I168" s="5" t="s">
        <v>46</v>
      </c>
    </row>
    <row r="169" customFormat="false" ht="26.85" hidden="false" customHeight="false" outlineLevel="0" collapsed="false">
      <c r="A169" s="5" t="s">
        <v>1446</v>
      </c>
      <c r="B169" s="5" t="s">
        <v>1381</v>
      </c>
      <c r="C169" s="5" t="s">
        <v>1447</v>
      </c>
      <c r="D169" s="5" t="s">
        <v>940</v>
      </c>
      <c r="E169" s="5" t="s">
        <v>941</v>
      </c>
      <c r="F169" s="5" t="s">
        <v>46</v>
      </c>
      <c r="G169" s="5" t="s">
        <v>1395</v>
      </c>
      <c r="H169" s="5"/>
      <c r="I169" s="5" t="s">
        <v>46</v>
      </c>
    </row>
    <row r="170" customFormat="false" ht="26.85" hidden="false" customHeight="false" outlineLevel="0" collapsed="false">
      <c r="A170" s="5" t="s">
        <v>1448</v>
      </c>
      <c r="B170" s="5" t="s">
        <v>1381</v>
      </c>
      <c r="C170" s="5" t="s">
        <v>1449</v>
      </c>
      <c r="D170" s="5" t="s">
        <v>940</v>
      </c>
      <c r="E170" s="5" t="s">
        <v>941</v>
      </c>
      <c r="F170" s="5" t="s">
        <v>46</v>
      </c>
      <c r="G170" s="5" t="s">
        <v>1395</v>
      </c>
      <c r="H170" s="5"/>
      <c r="I170" s="5" t="s">
        <v>46</v>
      </c>
    </row>
    <row r="171" customFormat="false" ht="26.85" hidden="false" customHeight="false" outlineLevel="0" collapsed="false">
      <c r="A171" s="5" t="s">
        <v>1450</v>
      </c>
      <c r="B171" s="5" t="s">
        <v>1381</v>
      </c>
      <c r="C171" s="5" t="s">
        <v>1451</v>
      </c>
      <c r="D171" s="5" t="s">
        <v>940</v>
      </c>
      <c r="E171" s="5" t="s">
        <v>941</v>
      </c>
      <c r="F171" s="5" t="s">
        <v>46</v>
      </c>
      <c r="G171" s="5" t="s">
        <v>1395</v>
      </c>
      <c r="H171" s="5"/>
      <c r="I171" s="5" t="s">
        <v>46</v>
      </c>
    </row>
    <row r="172" customFormat="false" ht="26.85" hidden="false" customHeight="false" outlineLevel="0" collapsed="false">
      <c r="A172" s="5" t="s">
        <v>1452</v>
      </c>
      <c r="B172" s="5" t="s">
        <v>1381</v>
      </c>
      <c r="C172" s="5" t="s">
        <v>1453</v>
      </c>
      <c r="D172" s="5" t="s">
        <v>940</v>
      </c>
      <c r="E172" s="5" t="s">
        <v>941</v>
      </c>
      <c r="F172" s="5" t="s">
        <v>46</v>
      </c>
      <c r="G172" s="5" t="s">
        <v>1395</v>
      </c>
      <c r="H172" s="5"/>
      <c r="I172" s="5" t="s">
        <v>46</v>
      </c>
    </row>
    <row r="173" customFormat="false" ht="26.85" hidden="false" customHeight="false" outlineLevel="0" collapsed="false">
      <c r="A173" s="5" t="s">
        <v>1454</v>
      </c>
      <c r="B173" s="5" t="s">
        <v>1381</v>
      </c>
      <c r="C173" s="5" t="s">
        <v>1455</v>
      </c>
      <c r="D173" s="5" t="s">
        <v>940</v>
      </c>
      <c r="E173" s="5" t="s">
        <v>1456</v>
      </c>
      <c r="F173" s="5" t="s">
        <v>46</v>
      </c>
      <c r="G173" s="5" t="s">
        <v>1395</v>
      </c>
      <c r="H173" s="5"/>
      <c r="I173" s="5" t="s">
        <v>46</v>
      </c>
    </row>
    <row r="174" customFormat="false" ht="26.85" hidden="false" customHeight="false" outlineLevel="0" collapsed="false">
      <c r="A174" s="5" t="s">
        <v>1457</v>
      </c>
      <c r="B174" s="5" t="s">
        <v>1381</v>
      </c>
      <c r="C174" s="5" t="s">
        <v>1458</v>
      </c>
      <c r="D174" s="5" t="s">
        <v>920</v>
      </c>
      <c r="E174" s="5" t="s">
        <v>1459</v>
      </c>
      <c r="F174" s="5" t="s">
        <v>46</v>
      </c>
      <c r="G174" s="5" t="s">
        <v>1395</v>
      </c>
      <c r="H174" s="5"/>
      <c r="I174" s="5" t="s">
        <v>46</v>
      </c>
    </row>
    <row r="175" customFormat="false" ht="26.85" hidden="false" customHeight="false" outlineLevel="0" collapsed="false">
      <c r="A175" s="5" t="s">
        <v>1460</v>
      </c>
      <c r="B175" s="5" t="s">
        <v>1381</v>
      </c>
      <c r="C175" s="5" t="s">
        <v>1461</v>
      </c>
      <c r="D175" s="5" t="s">
        <v>920</v>
      </c>
      <c r="E175" s="5" t="s">
        <v>1462</v>
      </c>
      <c r="F175" s="5" t="s">
        <v>46</v>
      </c>
      <c r="G175" s="5" t="s">
        <v>1395</v>
      </c>
      <c r="H175" s="5"/>
      <c r="I175" s="5" t="s">
        <v>46</v>
      </c>
    </row>
    <row r="176" customFormat="false" ht="52.2" hidden="false" customHeight="false" outlineLevel="0" collapsed="false">
      <c r="A176" s="5" t="s">
        <v>1463</v>
      </c>
      <c r="B176" s="5" t="s">
        <v>1381</v>
      </c>
      <c r="C176" s="5" t="s">
        <v>1464</v>
      </c>
      <c r="D176" s="5" t="s">
        <v>1465</v>
      </c>
      <c r="E176" s="5" t="s">
        <v>1466</v>
      </c>
      <c r="F176" s="5" t="s">
        <v>46</v>
      </c>
      <c r="G176" s="5" t="s">
        <v>1395</v>
      </c>
      <c r="H176" s="5"/>
      <c r="I176" s="5" t="s">
        <v>46</v>
      </c>
    </row>
    <row r="177" customFormat="false" ht="15" hidden="false" customHeight="false" outlineLevel="0" collapsed="false">
      <c r="A177" s="5" t="s">
        <v>1467</v>
      </c>
      <c r="B177" s="5" t="s">
        <v>1381</v>
      </c>
      <c r="C177" s="5" t="s">
        <v>1468</v>
      </c>
      <c r="D177" s="5" t="s">
        <v>1469</v>
      </c>
      <c r="E177" s="5" t="s">
        <v>1470</v>
      </c>
      <c r="F177" s="5" t="s">
        <v>46</v>
      </c>
      <c r="G177" s="5" t="s">
        <v>1395</v>
      </c>
      <c r="H177" s="5"/>
      <c r="I177" s="5" t="s">
        <v>46</v>
      </c>
    </row>
    <row r="178" customFormat="false" ht="39.55" hidden="false" customHeight="false" outlineLevel="0" collapsed="false">
      <c r="A178" s="5" t="s">
        <v>1471</v>
      </c>
      <c r="B178" s="5" t="s">
        <v>1381</v>
      </c>
      <c r="C178" s="5" t="s">
        <v>1472</v>
      </c>
      <c r="D178" s="5" t="s">
        <v>940</v>
      </c>
      <c r="E178" s="5" t="s">
        <v>1409</v>
      </c>
      <c r="F178" s="5" t="s">
        <v>46</v>
      </c>
      <c r="G178" s="5" t="s">
        <v>1395</v>
      </c>
      <c r="H178" s="5"/>
      <c r="I178" s="5" t="s">
        <v>46</v>
      </c>
    </row>
    <row r="179" customFormat="false" ht="26.85" hidden="false" customHeight="false" outlineLevel="0" collapsed="false">
      <c r="A179" s="5" t="s">
        <v>1473</v>
      </c>
      <c r="B179" s="5" t="s">
        <v>1381</v>
      </c>
      <c r="C179" s="5" t="s">
        <v>1474</v>
      </c>
      <c r="D179" s="5" t="s">
        <v>911</v>
      </c>
      <c r="E179" s="5" t="s">
        <v>1475</v>
      </c>
      <c r="F179" s="5" t="s">
        <v>46</v>
      </c>
      <c r="G179" s="5" t="s">
        <v>1395</v>
      </c>
      <c r="H179" s="5"/>
      <c r="I179" s="5" t="s">
        <v>46</v>
      </c>
    </row>
    <row r="180" customFormat="false" ht="39.55" hidden="false" customHeight="false" outlineLevel="0" collapsed="false">
      <c r="A180" s="5" t="s">
        <v>1476</v>
      </c>
      <c r="B180" s="5" t="s">
        <v>1381</v>
      </c>
      <c r="C180" s="5" t="s">
        <v>1477</v>
      </c>
      <c r="D180" s="5" t="s">
        <v>940</v>
      </c>
      <c r="E180" s="5" t="s">
        <v>1409</v>
      </c>
      <c r="F180" s="5" t="s">
        <v>46</v>
      </c>
      <c r="G180" s="5" t="s">
        <v>1395</v>
      </c>
      <c r="H180" s="5"/>
      <c r="I180" s="5" t="s">
        <v>46</v>
      </c>
    </row>
    <row r="181" customFormat="false" ht="15" hidden="false" customHeight="false" outlineLevel="0" collapsed="false">
      <c r="A181" s="5" t="s">
        <v>1478</v>
      </c>
      <c r="B181" s="5" t="s">
        <v>1381</v>
      </c>
      <c r="C181" s="5" t="s">
        <v>1479</v>
      </c>
      <c r="D181" s="5" t="s">
        <v>1480</v>
      </c>
      <c r="E181" s="5" t="s">
        <v>1481</v>
      </c>
      <c r="F181" s="5" t="s">
        <v>46</v>
      </c>
      <c r="G181" s="5" t="s">
        <v>1395</v>
      </c>
      <c r="H181" s="5"/>
      <c r="I181" s="5" t="s">
        <v>46</v>
      </c>
    </row>
    <row r="182" customFormat="false" ht="26.85" hidden="false" customHeight="false" outlineLevel="0" collapsed="false">
      <c r="A182" s="5" t="s">
        <v>1482</v>
      </c>
      <c r="B182" s="5" t="s">
        <v>1381</v>
      </c>
      <c r="C182" s="5" t="s">
        <v>1483</v>
      </c>
      <c r="D182" s="5" t="s">
        <v>911</v>
      </c>
      <c r="E182" s="5" t="s">
        <v>1475</v>
      </c>
      <c r="F182" s="5" t="s">
        <v>46</v>
      </c>
      <c r="G182" s="5" t="s">
        <v>1395</v>
      </c>
      <c r="H182" s="5"/>
      <c r="I182" s="5" t="s">
        <v>46</v>
      </c>
    </row>
    <row r="183" customFormat="false" ht="26.85" hidden="false" customHeight="false" outlineLevel="0" collapsed="false">
      <c r="A183" s="5" t="s">
        <v>1484</v>
      </c>
      <c r="B183" s="5" t="s">
        <v>1381</v>
      </c>
      <c r="C183" s="5" t="s">
        <v>1485</v>
      </c>
      <c r="D183" s="5" t="s">
        <v>920</v>
      </c>
      <c r="E183" s="5" t="s">
        <v>1486</v>
      </c>
      <c r="F183" s="5" t="s">
        <v>46</v>
      </c>
      <c r="G183" s="5" t="s">
        <v>1395</v>
      </c>
      <c r="H183" s="5"/>
      <c r="I183" s="5" t="s">
        <v>46</v>
      </c>
    </row>
    <row r="184" customFormat="false" ht="39.55" hidden="false" customHeight="false" outlineLevel="0" collapsed="false">
      <c r="A184" s="5" t="s">
        <v>1487</v>
      </c>
      <c r="B184" s="5" t="s">
        <v>1381</v>
      </c>
      <c r="C184" s="5" t="s">
        <v>1488</v>
      </c>
      <c r="D184" s="5" t="s">
        <v>920</v>
      </c>
      <c r="E184" s="5" t="s">
        <v>1401</v>
      </c>
      <c r="F184" s="5" t="s">
        <v>46</v>
      </c>
      <c r="G184" s="5" t="s">
        <v>1395</v>
      </c>
      <c r="H184" s="5"/>
      <c r="I184" s="5" t="s">
        <v>46</v>
      </c>
    </row>
    <row r="185" customFormat="false" ht="39.55" hidden="false" customHeight="false" outlineLevel="0" collapsed="false">
      <c r="A185" s="5" t="s">
        <v>1489</v>
      </c>
      <c r="B185" s="5" t="s">
        <v>1381</v>
      </c>
      <c r="C185" s="5" t="s">
        <v>1490</v>
      </c>
      <c r="D185" s="5" t="s">
        <v>1491</v>
      </c>
      <c r="E185" s="5" t="s">
        <v>1418</v>
      </c>
      <c r="F185" s="5" t="s">
        <v>46</v>
      </c>
      <c r="G185" s="5" t="s">
        <v>1395</v>
      </c>
      <c r="H185" s="5"/>
      <c r="I185" s="5" t="s">
        <v>46</v>
      </c>
    </row>
    <row r="186" customFormat="false" ht="26.85" hidden="false" customHeight="false" outlineLevel="0" collapsed="false">
      <c r="A186" s="5" t="s">
        <v>1492</v>
      </c>
      <c r="B186" s="5" t="s">
        <v>1381</v>
      </c>
      <c r="C186" s="5" t="s">
        <v>1493</v>
      </c>
      <c r="D186" s="5" t="s">
        <v>1494</v>
      </c>
      <c r="E186" s="5" t="s">
        <v>907</v>
      </c>
      <c r="F186" s="5" t="s">
        <v>46</v>
      </c>
      <c r="G186" s="5" t="s">
        <v>1395</v>
      </c>
      <c r="H186" s="5"/>
      <c r="I186" s="5" t="s">
        <v>46</v>
      </c>
    </row>
    <row r="187" customFormat="false" ht="15" hidden="false" customHeight="false" outlineLevel="0" collapsed="false">
      <c r="A187" s="5" t="s">
        <v>1495</v>
      </c>
      <c r="B187" s="5" t="s">
        <v>1381</v>
      </c>
      <c r="C187" s="5" t="s">
        <v>1496</v>
      </c>
      <c r="D187" s="5" t="s">
        <v>1197</v>
      </c>
      <c r="E187" s="5" t="s">
        <v>1197</v>
      </c>
      <c r="F187" s="5" t="s">
        <v>46</v>
      </c>
      <c r="G187" s="5" t="s">
        <v>1395</v>
      </c>
      <c r="H187" s="5"/>
      <c r="I187" s="5" t="s">
        <v>46</v>
      </c>
    </row>
    <row r="188" customFormat="false" ht="26.85" hidden="false" customHeight="false" outlineLevel="0" collapsed="false">
      <c r="A188" s="5" t="s">
        <v>1497</v>
      </c>
      <c r="B188" s="5" t="s">
        <v>1381</v>
      </c>
      <c r="C188" s="5" t="s">
        <v>1498</v>
      </c>
      <c r="D188" s="5" t="s">
        <v>1499</v>
      </c>
      <c r="E188" s="5" t="s">
        <v>1500</v>
      </c>
      <c r="F188" s="5" t="s">
        <v>46</v>
      </c>
      <c r="G188" s="5" t="s">
        <v>1395</v>
      </c>
      <c r="H188" s="5"/>
      <c r="I188" s="5" t="s">
        <v>46</v>
      </c>
    </row>
    <row r="189" customFormat="false" ht="15" hidden="false" customHeight="false" outlineLevel="0" collapsed="false">
      <c r="A189" s="5" t="s">
        <v>1501</v>
      </c>
      <c r="B189" s="5" t="s">
        <v>1381</v>
      </c>
      <c r="C189" s="5" t="s">
        <v>1502</v>
      </c>
      <c r="D189" s="5" t="s">
        <v>1503</v>
      </c>
      <c r="E189" s="5" t="s">
        <v>1164</v>
      </c>
      <c r="F189" s="5" t="s">
        <v>46</v>
      </c>
      <c r="G189" s="5" t="s">
        <v>1395</v>
      </c>
      <c r="H189" s="5"/>
      <c r="I189" s="5" t="s">
        <v>46</v>
      </c>
    </row>
    <row r="190" customFormat="false" ht="26.85" hidden="false" customHeight="false" outlineLevel="0" collapsed="false">
      <c r="A190" s="5" t="s">
        <v>1504</v>
      </c>
      <c r="B190" s="5" t="s">
        <v>1381</v>
      </c>
      <c r="C190" s="5" t="s">
        <v>1505</v>
      </c>
      <c r="D190" s="5" t="s">
        <v>940</v>
      </c>
      <c r="E190" s="5" t="s">
        <v>1506</v>
      </c>
      <c r="F190" s="5" t="s">
        <v>46</v>
      </c>
      <c r="G190" s="5" t="s">
        <v>1395</v>
      </c>
      <c r="H190" s="5"/>
      <c r="I190" s="5" t="s">
        <v>46</v>
      </c>
    </row>
    <row r="191" customFormat="false" ht="26.85" hidden="false" customHeight="false" outlineLevel="0" collapsed="false">
      <c r="A191" s="5" t="s">
        <v>1507</v>
      </c>
      <c r="B191" s="5" t="s">
        <v>1381</v>
      </c>
      <c r="C191" s="5" t="s">
        <v>1508</v>
      </c>
      <c r="D191" s="5" t="s">
        <v>940</v>
      </c>
      <c r="E191" s="5" t="s">
        <v>1506</v>
      </c>
      <c r="F191" s="5" t="s">
        <v>46</v>
      </c>
      <c r="G191" s="5" t="s">
        <v>1395</v>
      </c>
      <c r="H191" s="5"/>
      <c r="I191" s="5" t="s">
        <v>46</v>
      </c>
    </row>
    <row r="192" customFormat="false" ht="15" hidden="false" customHeight="false" outlineLevel="0" collapsed="false">
      <c r="A192" s="5" t="s">
        <v>1509</v>
      </c>
      <c r="B192" s="5" t="s">
        <v>1381</v>
      </c>
      <c r="C192" s="5" t="s">
        <v>1510</v>
      </c>
      <c r="D192" s="5" t="s">
        <v>940</v>
      </c>
      <c r="E192" s="5" t="s">
        <v>941</v>
      </c>
      <c r="F192" s="5" t="s">
        <v>46</v>
      </c>
      <c r="G192" s="5" t="s">
        <v>1395</v>
      </c>
      <c r="H192" s="5"/>
      <c r="I192" s="5" t="s">
        <v>46</v>
      </c>
    </row>
    <row r="193" customFormat="false" ht="15" hidden="false" customHeight="false" outlineLevel="0" collapsed="false">
      <c r="A193" s="5" t="s">
        <v>1511</v>
      </c>
      <c r="B193" s="5" t="s">
        <v>1381</v>
      </c>
      <c r="C193" s="5" t="s">
        <v>1512</v>
      </c>
      <c r="D193" s="5" t="s">
        <v>1513</v>
      </c>
      <c r="E193" s="5" t="s">
        <v>1514</v>
      </c>
      <c r="F193" s="5" t="s">
        <v>46</v>
      </c>
      <c r="G193" s="5" t="s">
        <v>1395</v>
      </c>
      <c r="H193" s="5"/>
      <c r="I193" s="5" t="s">
        <v>46</v>
      </c>
    </row>
    <row r="194" customFormat="false" ht="26.85" hidden="false" customHeight="false" outlineLevel="0" collapsed="false">
      <c r="A194" s="5" t="s">
        <v>1515</v>
      </c>
      <c r="B194" s="5" t="s">
        <v>1381</v>
      </c>
      <c r="C194" s="5" t="s">
        <v>1516</v>
      </c>
      <c r="D194" s="5" t="s">
        <v>1517</v>
      </c>
      <c r="E194" s="5" t="s">
        <v>1518</v>
      </c>
      <c r="F194" s="5" t="s">
        <v>46</v>
      </c>
      <c r="G194" s="5" t="s">
        <v>1395</v>
      </c>
      <c r="H194" s="5"/>
      <c r="I194" s="5" t="s">
        <v>46</v>
      </c>
    </row>
    <row r="195" customFormat="false" ht="15" hidden="false" customHeight="false" outlineLevel="0" collapsed="false">
      <c r="A195" s="5" t="s">
        <v>1519</v>
      </c>
      <c r="B195" s="5" t="s">
        <v>1381</v>
      </c>
      <c r="C195" s="5" t="s">
        <v>1520</v>
      </c>
      <c r="D195" s="5" t="s">
        <v>920</v>
      </c>
      <c r="E195" s="5" t="s">
        <v>1521</v>
      </c>
      <c r="F195" s="5" t="s">
        <v>46</v>
      </c>
      <c r="G195" s="5" t="s">
        <v>1395</v>
      </c>
      <c r="H195" s="5"/>
      <c r="I195" s="5" t="s">
        <v>46</v>
      </c>
    </row>
    <row r="196" customFormat="false" ht="26.85" hidden="false" customHeight="false" outlineLevel="0" collapsed="false">
      <c r="A196" s="5" t="s">
        <v>1522</v>
      </c>
      <c r="B196" s="5" t="s">
        <v>1381</v>
      </c>
      <c r="C196" s="5" t="s">
        <v>1523</v>
      </c>
      <c r="D196" s="5" t="s">
        <v>1524</v>
      </c>
      <c r="E196" s="5" t="s">
        <v>1525</v>
      </c>
      <c r="F196" s="5" t="s">
        <v>46</v>
      </c>
      <c r="G196" s="5" t="s">
        <v>1395</v>
      </c>
      <c r="H196" s="5"/>
      <c r="I196" s="5" t="s">
        <v>46</v>
      </c>
    </row>
    <row r="197" customFormat="false" ht="26.85" hidden="false" customHeight="false" outlineLevel="0" collapsed="false">
      <c r="A197" s="5" t="s">
        <v>1526</v>
      </c>
      <c r="B197" s="5" t="s">
        <v>1381</v>
      </c>
      <c r="C197" s="5" t="s">
        <v>1527</v>
      </c>
      <c r="D197" s="5" t="s">
        <v>1528</v>
      </c>
      <c r="E197" s="5" t="s">
        <v>1529</v>
      </c>
      <c r="F197" s="5" t="s">
        <v>46</v>
      </c>
      <c r="G197" s="5" t="s">
        <v>1395</v>
      </c>
      <c r="H197" s="5"/>
      <c r="I197" s="5" t="s">
        <v>46</v>
      </c>
    </row>
    <row r="198" customFormat="false" ht="15" hidden="false" customHeight="false" outlineLevel="0" collapsed="false">
      <c r="A198" s="5" t="s">
        <v>1530</v>
      </c>
      <c r="B198" s="5" t="s">
        <v>1381</v>
      </c>
      <c r="C198" s="5" t="s">
        <v>1531</v>
      </c>
      <c r="D198" s="5" t="s">
        <v>920</v>
      </c>
      <c r="E198" s="5" t="s">
        <v>1532</v>
      </c>
      <c r="F198" s="5" t="s">
        <v>46</v>
      </c>
      <c r="G198" s="5" t="s">
        <v>1395</v>
      </c>
      <c r="H198" s="5"/>
      <c r="I198" s="5" t="s">
        <v>46</v>
      </c>
    </row>
    <row r="199" customFormat="false" ht="15" hidden="false" customHeight="false" outlineLevel="0" collapsed="false">
      <c r="A199" s="5" t="s">
        <v>1533</v>
      </c>
      <c r="B199" s="5" t="s">
        <v>1381</v>
      </c>
      <c r="C199" s="5" t="s">
        <v>1534</v>
      </c>
      <c r="D199" s="5" t="s">
        <v>1535</v>
      </c>
      <c r="E199" s="5" t="s">
        <v>1536</v>
      </c>
      <c r="F199" s="5" t="s">
        <v>46</v>
      </c>
      <c r="G199" s="5" t="s">
        <v>1395</v>
      </c>
      <c r="H199" s="5"/>
      <c r="I199" s="5" t="s">
        <v>46</v>
      </c>
    </row>
    <row r="200" customFormat="false" ht="15" hidden="false" customHeight="false" outlineLevel="0" collapsed="false">
      <c r="A200" s="5" t="s">
        <v>1537</v>
      </c>
      <c r="B200" s="5" t="s">
        <v>1381</v>
      </c>
      <c r="C200" s="5" t="s">
        <v>1538</v>
      </c>
      <c r="D200" s="5" t="s">
        <v>920</v>
      </c>
      <c r="E200" s="5" t="s">
        <v>1539</v>
      </c>
      <c r="F200" s="5" t="s">
        <v>46</v>
      </c>
      <c r="G200" s="5" t="s">
        <v>1395</v>
      </c>
      <c r="H200" s="5"/>
      <c r="I200" s="5" t="s">
        <v>46</v>
      </c>
    </row>
    <row r="201" customFormat="false" ht="39.55" hidden="false" customHeight="false" outlineLevel="0" collapsed="false">
      <c r="A201" s="5" t="s">
        <v>1540</v>
      </c>
      <c r="B201" s="5" t="s">
        <v>1381</v>
      </c>
      <c r="C201" s="5" t="s">
        <v>1541</v>
      </c>
      <c r="D201" s="5" t="s">
        <v>1542</v>
      </c>
      <c r="E201" s="5" t="s">
        <v>1543</v>
      </c>
      <c r="F201" s="5" t="s">
        <v>46</v>
      </c>
      <c r="G201" s="5" t="s">
        <v>1395</v>
      </c>
      <c r="H201" s="5"/>
      <c r="I201" s="5" t="s">
        <v>46</v>
      </c>
    </row>
    <row r="202" customFormat="false" ht="26.85" hidden="false" customHeight="false" outlineLevel="0" collapsed="false">
      <c r="A202" s="5" t="s">
        <v>1544</v>
      </c>
      <c r="B202" s="5" t="s">
        <v>1381</v>
      </c>
      <c r="C202" s="5" t="s">
        <v>1545</v>
      </c>
      <c r="D202" s="5" t="s">
        <v>1546</v>
      </c>
      <c r="E202" s="5" t="s">
        <v>1547</v>
      </c>
      <c r="F202" s="5" t="s">
        <v>46</v>
      </c>
      <c r="G202" s="5" t="s">
        <v>1395</v>
      </c>
      <c r="H202" s="5"/>
      <c r="I202" s="5" t="s">
        <v>46</v>
      </c>
    </row>
    <row r="203" customFormat="false" ht="26.85" hidden="false" customHeight="false" outlineLevel="0" collapsed="false">
      <c r="A203" s="5" t="s">
        <v>1548</v>
      </c>
      <c r="B203" s="5" t="s">
        <v>1381</v>
      </c>
      <c r="C203" s="5" t="s">
        <v>1549</v>
      </c>
      <c r="D203" s="5" t="s">
        <v>1550</v>
      </c>
      <c r="E203" s="5" t="s">
        <v>1551</v>
      </c>
      <c r="F203" s="5" t="s">
        <v>46</v>
      </c>
      <c r="G203" s="5" t="s">
        <v>1395</v>
      </c>
      <c r="H203" s="5"/>
      <c r="I203" s="5" t="s">
        <v>46</v>
      </c>
    </row>
    <row r="204" customFormat="false" ht="26.85" hidden="false" customHeight="false" outlineLevel="0" collapsed="false">
      <c r="A204" s="5" t="s">
        <v>1552</v>
      </c>
      <c r="B204" s="5" t="s">
        <v>1381</v>
      </c>
      <c r="C204" s="5" t="s">
        <v>1553</v>
      </c>
      <c r="D204" s="5" t="s">
        <v>1554</v>
      </c>
      <c r="E204" s="5" t="s">
        <v>1555</v>
      </c>
      <c r="F204" s="5" t="s">
        <v>46</v>
      </c>
      <c r="G204" s="5" t="s">
        <v>1395</v>
      </c>
      <c r="H204" s="5"/>
      <c r="I204" s="5" t="s">
        <v>46</v>
      </c>
    </row>
    <row r="205" customFormat="false" ht="26.85" hidden="false" customHeight="false" outlineLevel="0" collapsed="false">
      <c r="A205" s="5" t="s">
        <v>1556</v>
      </c>
      <c r="B205" s="5" t="s">
        <v>1381</v>
      </c>
      <c r="C205" s="5" t="s">
        <v>1557</v>
      </c>
      <c r="D205" s="5" t="s">
        <v>1558</v>
      </c>
      <c r="E205" s="5" t="s">
        <v>1140</v>
      </c>
      <c r="F205" s="5" t="s">
        <v>881</v>
      </c>
      <c r="G205" s="5" t="s">
        <v>1395</v>
      </c>
      <c r="H205" s="5" t="s">
        <v>1559</v>
      </c>
      <c r="I205" s="5" t="s">
        <v>883</v>
      </c>
    </row>
    <row r="206" customFormat="false" ht="15" hidden="false" customHeight="false" outlineLevel="0" collapsed="false">
      <c r="A206" s="5" t="s">
        <v>1560</v>
      </c>
      <c r="B206" s="5" t="s">
        <v>1381</v>
      </c>
      <c r="C206" s="5" t="s">
        <v>1561</v>
      </c>
      <c r="D206" s="5" t="s">
        <v>1562</v>
      </c>
      <c r="E206" s="5" t="s">
        <v>1563</v>
      </c>
      <c r="F206" s="5" t="s">
        <v>46</v>
      </c>
      <c r="G206" s="5" t="s">
        <v>1395</v>
      </c>
      <c r="H206" s="5"/>
      <c r="I206" s="5" t="s">
        <v>46</v>
      </c>
    </row>
    <row r="207" customFormat="false" ht="15" hidden="false" customHeight="false" outlineLevel="0" collapsed="false">
      <c r="A207" s="5" t="s">
        <v>1564</v>
      </c>
      <c r="B207" s="5" t="s">
        <v>1381</v>
      </c>
      <c r="C207" s="5" t="s">
        <v>1565</v>
      </c>
      <c r="D207" s="5" t="s">
        <v>1007</v>
      </c>
      <c r="E207" s="5" t="s">
        <v>1566</v>
      </c>
      <c r="F207" s="5" t="s">
        <v>46</v>
      </c>
      <c r="G207" s="5" t="s">
        <v>1395</v>
      </c>
      <c r="H207" s="5"/>
      <c r="I207" s="5" t="s">
        <v>46</v>
      </c>
    </row>
    <row r="208" customFormat="false" ht="15" hidden="false" customHeight="false" outlineLevel="0" collapsed="false">
      <c r="A208" s="5" t="s">
        <v>1567</v>
      </c>
      <c r="B208" s="5" t="s">
        <v>1381</v>
      </c>
      <c r="C208" s="5" t="s">
        <v>1568</v>
      </c>
      <c r="D208" s="5" t="s">
        <v>1569</v>
      </c>
      <c r="E208" s="5" t="s">
        <v>1566</v>
      </c>
      <c r="F208" s="5" t="s">
        <v>46</v>
      </c>
      <c r="G208" s="5" t="s">
        <v>1395</v>
      </c>
      <c r="H208" s="5"/>
      <c r="I208" s="5" t="s">
        <v>46</v>
      </c>
    </row>
    <row r="209" customFormat="false" ht="15" hidden="false" customHeight="false" outlineLevel="0" collapsed="false">
      <c r="A209" s="5" t="s">
        <v>1570</v>
      </c>
      <c r="B209" s="5" t="s">
        <v>1381</v>
      </c>
      <c r="C209" s="5" t="s">
        <v>1571</v>
      </c>
      <c r="D209" s="5" t="s">
        <v>911</v>
      </c>
      <c r="E209" s="5" t="s">
        <v>907</v>
      </c>
      <c r="F209" s="5" t="s">
        <v>46</v>
      </c>
      <c r="G209" s="5" t="s">
        <v>1395</v>
      </c>
      <c r="H209" s="5"/>
      <c r="I209" s="5" t="s">
        <v>46</v>
      </c>
    </row>
    <row r="210" customFormat="false" ht="15" hidden="false" customHeight="false" outlineLevel="0" collapsed="false">
      <c r="A210" s="5" t="s">
        <v>1572</v>
      </c>
      <c r="B210" s="5" t="s">
        <v>1381</v>
      </c>
      <c r="C210" s="5" t="s">
        <v>1573</v>
      </c>
      <c r="D210" s="5" t="s">
        <v>1574</v>
      </c>
      <c r="E210" s="5" t="s">
        <v>1575</v>
      </c>
      <c r="F210" s="5" t="s">
        <v>46</v>
      </c>
      <c r="G210" s="5" t="s">
        <v>1395</v>
      </c>
      <c r="H210" s="5"/>
      <c r="I210" s="5" t="s">
        <v>46</v>
      </c>
    </row>
    <row r="211" customFormat="false" ht="26.85" hidden="false" customHeight="false" outlineLevel="0" collapsed="false">
      <c r="A211" s="5" t="s">
        <v>1576</v>
      </c>
      <c r="B211" s="5" t="s">
        <v>1381</v>
      </c>
      <c r="C211" s="5" t="s">
        <v>1577</v>
      </c>
      <c r="D211" s="5" t="s">
        <v>1578</v>
      </c>
      <c r="E211" s="5" t="s">
        <v>1579</v>
      </c>
      <c r="F211" s="5" t="s">
        <v>46</v>
      </c>
      <c r="G211" s="5" t="s">
        <v>1395</v>
      </c>
      <c r="H211" s="5"/>
      <c r="I211" s="5" t="s">
        <v>46</v>
      </c>
    </row>
    <row r="212" customFormat="false" ht="26.85" hidden="false" customHeight="false" outlineLevel="0" collapsed="false">
      <c r="A212" s="5" t="s">
        <v>1580</v>
      </c>
      <c r="B212" s="5" t="s">
        <v>1381</v>
      </c>
      <c r="C212" s="5" t="s">
        <v>1581</v>
      </c>
      <c r="D212" s="5" t="s">
        <v>1582</v>
      </c>
      <c r="E212" s="5" t="s">
        <v>1583</v>
      </c>
      <c r="F212" s="5" t="s">
        <v>46</v>
      </c>
      <c r="G212" s="5" t="s">
        <v>1395</v>
      </c>
      <c r="H212" s="5"/>
      <c r="I212" s="5" t="s">
        <v>46</v>
      </c>
    </row>
    <row r="213" customFormat="false" ht="26.85" hidden="false" customHeight="false" outlineLevel="0" collapsed="false">
      <c r="A213" s="5" t="s">
        <v>1584</v>
      </c>
      <c r="B213" s="5" t="s">
        <v>1184</v>
      </c>
      <c r="C213" s="5" t="s">
        <v>1585</v>
      </c>
      <c r="D213" s="5" t="s">
        <v>1586</v>
      </c>
      <c r="E213" s="5" t="s">
        <v>1587</v>
      </c>
      <c r="F213" s="5" t="s">
        <v>46</v>
      </c>
      <c r="G213" s="5" t="s">
        <v>1588</v>
      </c>
      <c r="H213" s="5"/>
      <c r="I213" s="5" t="s">
        <v>46</v>
      </c>
    </row>
    <row r="214" customFormat="false" ht="15" hidden="false" customHeight="false" outlineLevel="0" collapsed="false">
      <c r="A214" s="5" t="s">
        <v>1589</v>
      </c>
      <c r="B214" s="5" t="s">
        <v>1184</v>
      </c>
      <c r="C214" s="5" t="s">
        <v>1590</v>
      </c>
      <c r="D214" s="5" t="s">
        <v>1591</v>
      </c>
      <c r="E214" s="5" t="s">
        <v>1592</v>
      </c>
      <c r="F214" s="5" t="s">
        <v>46</v>
      </c>
      <c r="G214" s="5" t="s">
        <v>1588</v>
      </c>
      <c r="H214" s="5"/>
      <c r="I214" s="5" t="s">
        <v>46</v>
      </c>
    </row>
    <row r="215" customFormat="false" ht="26.85" hidden="false" customHeight="false" outlineLevel="0" collapsed="false">
      <c r="A215" s="5" t="s">
        <v>1593</v>
      </c>
      <c r="B215" s="5" t="s">
        <v>1184</v>
      </c>
      <c r="C215" s="5" t="s">
        <v>1594</v>
      </c>
      <c r="D215" s="5" t="s">
        <v>1595</v>
      </c>
      <c r="E215" s="5" t="s">
        <v>1596</v>
      </c>
      <c r="F215" s="5" t="s">
        <v>46</v>
      </c>
      <c r="G215" s="5" t="s">
        <v>1588</v>
      </c>
      <c r="H215" s="5"/>
      <c r="I215" s="5" t="s">
        <v>46</v>
      </c>
    </row>
    <row r="216" customFormat="false" ht="15" hidden="false" customHeight="false" outlineLevel="0" collapsed="false">
      <c r="A216" s="5" t="s">
        <v>1597</v>
      </c>
      <c r="B216" s="5" t="s">
        <v>1184</v>
      </c>
      <c r="C216" s="5" t="s">
        <v>1598</v>
      </c>
      <c r="D216" s="5" t="s">
        <v>1599</v>
      </c>
      <c r="E216" s="5" t="s">
        <v>1600</v>
      </c>
      <c r="F216" s="5" t="s">
        <v>46</v>
      </c>
      <c r="G216" s="5" t="s">
        <v>1588</v>
      </c>
      <c r="H216" s="5"/>
      <c r="I216" s="5" t="s">
        <v>46</v>
      </c>
    </row>
    <row r="217" customFormat="false" ht="52.2" hidden="false" customHeight="false" outlineLevel="0" collapsed="false">
      <c r="A217" s="5" t="s">
        <v>1601</v>
      </c>
      <c r="B217" s="5" t="s">
        <v>1184</v>
      </c>
      <c r="C217" s="5" t="s">
        <v>1602</v>
      </c>
      <c r="D217" s="5" t="s">
        <v>1603</v>
      </c>
      <c r="E217" s="5" t="s">
        <v>1604</v>
      </c>
      <c r="F217" s="5" t="s">
        <v>46</v>
      </c>
      <c r="G217" s="5" t="s">
        <v>1588</v>
      </c>
      <c r="H217" s="5"/>
      <c r="I217" s="5" t="s">
        <v>46</v>
      </c>
    </row>
    <row r="218" customFormat="false" ht="39.55" hidden="false" customHeight="false" outlineLevel="0" collapsed="false">
      <c r="A218" s="5" t="s">
        <v>1605</v>
      </c>
      <c r="B218" s="5" t="s">
        <v>1184</v>
      </c>
      <c r="C218" s="5" t="s">
        <v>1606</v>
      </c>
      <c r="D218" s="5" t="s">
        <v>1607</v>
      </c>
      <c r="E218" s="5" t="s">
        <v>1608</v>
      </c>
      <c r="F218" s="5" t="s">
        <v>46</v>
      </c>
      <c r="G218" s="5" t="s">
        <v>1588</v>
      </c>
      <c r="H218" s="5"/>
      <c r="I218" s="5" t="s">
        <v>46</v>
      </c>
    </row>
    <row r="219" customFormat="false" ht="26.85" hidden="false" customHeight="false" outlineLevel="0" collapsed="false">
      <c r="A219" s="5" t="s">
        <v>1609</v>
      </c>
      <c r="B219" s="5" t="s">
        <v>1610</v>
      </c>
      <c r="C219" s="5" t="s">
        <v>1611</v>
      </c>
      <c r="D219" s="5" t="s">
        <v>1612</v>
      </c>
      <c r="E219" s="5" t="s">
        <v>1613</v>
      </c>
      <c r="F219" s="5" t="s">
        <v>881</v>
      </c>
      <c r="G219" s="5" t="s">
        <v>1588</v>
      </c>
      <c r="H219" s="5" t="s">
        <v>1614</v>
      </c>
      <c r="I219" s="5" t="s">
        <v>883</v>
      </c>
    </row>
    <row r="220" customFormat="false" ht="26.85" hidden="false" customHeight="false" outlineLevel="0" collapsed="false">
      <c r="A220" s="5" t="s">
        <v>1615</v>
      </c>
      <c r="B220" s="5" t="s">
        <v>1184</v>
      </c>
      <c r="C220" s="5" t="s">
        <v>1616</v>
      </c>
      <c r="D220" s="5" t="s">
        <v>1617</v>
      </c>
      <c r="E220" s="5" t="s">
        <v>1618</v>
      </c>
      <c r="F220" s="5" t="s">
        <v>881</v>
      </c>
      <c r="G220" s="5" t="s">
        <v>1588</v>
      </c>
      <c r="H220" s="5" t="s">
        <v>1614</v>
      </c>
      <c r="I220" s="5" t="s">
        <v>883</v>
      </c>
    </row>
    <row r="221" customFormat="false" ht="52.2" hidden="false" customHeight="false" outlineLevel="0" collapsed="false">
      <c r="A221" s="5" t="s">
        <v>1619</v>
      </c>
      <c r="B221" s="5" t="s">
        <v>1184</v>
      </c>
      <c r="C221" s="5" t="s">
        <v>1620</v>
      </c>
      <c r="D221" s="5" t="s">
        <v>1621</v>
      </c>
      <c r="E221" s="5" t="s">
        <v>1622</v>
      </c>
      <c r="F221" s="5" t="s">
        <v>46</v>
      </c>
      <c r="G221" s="5" t="s">
        <v>1588</v>
      </c>
      <c r="H221" s="5"/>
      <c r="I221" s="5" t="s">
        <v>46</v>
      </c>
    </row>
    <row r="222" customFormat="false" ht="26.85" hidden="false" customHeight="false" outlineLevel="0" collapsed="false">
      <c r="A222" s="5" t="s">
        <v>1623</v>
      </c>
      <c r="B222" s="5" t="s">
        <v>1610</v>
      </c>
      <c r="C222" s="5" t="s">
        <v>1624</v>
      </c>
      <c r="D222" s="5" t="s">
        <v>1625</v>
      </c>
      <c r="E222" s="5" t="s">
        <v>1626</v>
      </c>
      <c r="F222" s="5" t="s">
        <v>46</v>
      </c>
      <c r="G222" s="5" t="s">
        <v>1588</v>
      </c>
      <c r="H222" s="5"/>
      <c r="I222" s="5" t="s">
        <v>46</v>
      </c>
    </row>
    <row r="223" customFormat="false" ht="15" hidden="false" customHeight="false" outlineLevel="0" collapsed="false">
      <c r="A223" s="5" t="s">
        <v>1627</v>
      </c>
      <c r="B223" s="5" t="s">
        <v>1376</v>
      </c>
      <c r="C223" s="5" t="s">
        <v>1628</v>
      </c>
      <c r="D223" s="5" t="s">
        <v>1629</v>
      </c>
      <c r="E223" s="5" t="s">
        <v>1630</v>
      </c>
      <c r="F223" s="5" t="s">
        <v>46</v>
      </c>
      <c r="G223" s="5" t="s">
        <v>1588</v>
      </c>
      <c r="H223" s="5"/>
      <c r="I223" s="5" t="s">
        <v>46</v>
      </c>
    </row>
    <row r="224" customFormat="false" ht="26.85" hidden="false" customHeight="false" outlineLevel="0" collapsed="false">
      <c r="A224" s="5" t="s">
        <v>1631</v>
      </c>
      <c r="B224" s="5" t="s">
        <v>1376</v>
      </c>
      <c r="C224" s="5" t="s">
        <v>1632</v>
      </c>
      <c r="D224" s="5" t="s">
        <v>1633</v>
      </c>
      <c r="E224" s="5" t="s">
        <v>1630</v>
      </c>
      <c r="F224" s="5" t="s">
        <v>46</v>
      </c>
      <c r="G224" s="5" t="s">
        <v>1588</v>
      </c>
      <c r="H224" s="5"/>
      <c r="I224" s="5" t="s">
        <v>46</v>
      </c>
    </row>
    <row r="225" customFormat="false" ht="15" hidden="false" customHeight="false" outlineLevel="0" collapsed="false">
      <c r="A225" s="5" t="s">
        <v>1634</v>
      </c>
      <c r="B225" s="5" t="s">
        <v>1376</v>
      </c>
      <c r="C225" s="5" t="s">
        <v>1635</v>
      </c>
      <c r="D225" s="5" t="s">
        <v>1636</v>
      </c>
      <c r="E225" s="5" t="s">
        <v>1637</v>
      </c>
      <c r="F225" s="5" t="s">
        <v>46</v>
      </c>
      <c r="G225" s="5" t="s">
        <v>1588</v>
      </c>
      <c r="H225" s="5"/>
      <c r="I225" s="5" t="s">
        <v>46</v>
      </c>
    </row>
    <row r="226" customFormat="false" ht="39.55" hidden="false" customHeight="false" outlineLevel="0" collapsed="false">
      <c r="A226" s="5" t="s">
        <v>1638</v>
      </c>
      <c r="B226" s="5" t="s">
        <v>1639</v>
      </c>
      <c r="C226" s="5" t="s">
        <v>1640</v>
      </c>
      <c r="D226" s="5" t="s">
        <v>920</v>
      </c>
      <c r="E226" s="5" t="s">
        <v>990</v>
      </c>
      <c r="F226" s="5" t="s">
        <v>46</v>
      </c>
      <c r="G226" s="5" t="s">
        <v>1588</v>
      </c>
      <c r="H226" s="5"/>
      <c r="I226" s="5" t="s">
        <v>46</v>
      </c>
    </row>
    <row r="227" customFormat="false" ht="15" hidden="false" customHeight="false" outlineLevel="0" collapsed="false">
      <c r="A227" s="5" t="s">
        <v>1641</v>
      </c>
      <c r="B227" s="5" t="s">
        <v>1184</v>
      </c>
      <c r="C227" s="5" t="s">
        <v>1642</v>
      </c>
      <c r="D227" s="5" t="s">
        <v>1643</v>
      </c>
      <c r="E227" s="5" t="s">
        <v>1644</v>
      </c>
      <c r="F227" s="5" t="s">
        <v>46</v>
      </c>
      <c r="G227" s="5" t="s">
        <v>1588</v>
      </c>
      <c r="H227" s="5"/>
      <c r="I227" s="5" t="s">
        <v>46</v>
      </c>
    </row>
    <row r="228" customFormat="false" ht="26.85" hidden="false" customHeight="false" outlineLevel="0" collapsed="false">
      <c r="A228" s="5" t="s">
        <v>1645</v>
      </c>
      <c r="B228" s="5" t="s">
        <v>1289</v>
      </c>
      <c r="C228" s="5" t="s">
        <v>1646</v>
      </c>
      <c r="D228" s="5" t="s">
        <v>1647</v>
      </c>
      <c r="E228" s="5" t="s">
        <v>1648</v>
      </c>
      <c r="F228" s="5" t="s">
        <v>46</v>
      </c>
      <c r="G228" s="5" t="s">
        <v>1588</v>
      </c>
      <c r="H228" s="5"/>
      <c r="I228" s="5" t="s">
        <v>46</v>
      </c>
    </row>
    <row r="229" customFormat="false" ht="15" hidden="false" customHeight="false" outlineLevel="0" collapsed="false">
      <c r="A229" s="5" t="s">
        <v>1649</v>
      </c>
      <c r="B229" s="5" t="s">
        <v>1289</v>
      </c>
      <c r="C229" s="5" t="s">
        <v>1650</v>
      </c>
      <c r="D229" s="5" t="s">
        <v>1651</v>
      </c>
      <c r="E229" s="5" t="s">
        <v>1652</v>
      </c>
      <c r="F229" s="5" t="s">
        <v>46</v>
      </c>
      <c r="G229" s="5" t="s">
        <v>1588</v>
      </c>
      <c r="H229" s="5"/>
      <c r="I229" s="5" t="s">
        <v>46</v>
      </c>
    </row>
    <row r="230" customFormat="false" ht="52.2" hidden="false" customHeight="false" outlineLevel="0" collapsed="false">
      <c r="A230" s="5" t="s">
        <v>1653</v>
      </c>
      <c r="B230" s="5" t="s">
        <v>1639</v>
      </c>
      <c r="C230" s="5" t="s">
        <v>1654</v>
      </c>
      <c r="D230" s="5" t="s">
        <v>1655</v>
      </c>
      <c r="E230" s="5" t="s">
        <v>1656</v>
      </c>
      <c r="F230" s="5" t="s">
        <v>46</v>
      </c>
      <c r="G230" s="5" t="s">
        <v>1657</v>
      </c>
      <c r="H230" s="5"/>
      <c r="I230" s="5" t="s">
        <v>46</v>
      </c>
    </row>
    <row r="231" customFormat="false" ht="64.9" hidden="false" customHeight="false" outlineLevel="0" collapsed="false">
      <c r="A231" s="5" t="s">
        <v>1609</v>
      </c>
      <c r="B231" s="5" t="s">
        <v>1610</v>
      </c>
      <c r="C231" s="5" t="s">
        <v>1611</v>
      </c>
      <c r="D231" s="5" t="s">
        <v>1612</v>
      </c>
      <c r="E231" s="5" t="s">
        <v>1658</v>
      </c>
      <c r="F231" s="5" t="s">
        <v>46</v>
      </c>
      <c r="G231" s="5" t="s">
        <v>1657</v>
      </c>
      <c r="H231" s="5" t="s">
        <v>1614</v>
      </c>
      <c r="I231" s="5" t="s">
        <v>883</v>
      </c>
    </row>
    <row r="232" customFormat="false" ht="15" hidden="false" customHeight="false" outlineLevel="0" collapsed="false">
      <c r="A232" s="5" t="s">
        <v>1659</v>
      </c>
      <c r="B232" s="5" t="s">
        <v>1610</v>
      </c>
      <c r="C232" s="5" t="s">
        <v>1660</v>
      </c>
      <c r="D232" s="5" t="s">
        <v>1661</v>
      </c>
      <c r="E232" s="5" t="s">
        <v>1662</v>
      </c>
      <c r="F232" s="5" t="s">
        <v>46</v>
      </c>
      <c r="G232" s="5" t="s">
        <v>1657</v>
      </c>
      <c r="H232" s="5"/>
      <c r="I232" s="5" t="s">
        <v>46</v>
      </c>
    </row>
    <row r="233" customFormat="false" ht="15" hidden="false" customHeight="false" outlineLevel="0" collapsed="false">
      <c r="A233" s="5" t="s">
        <v>1663</v>
      </c>
      <c r="B233" s="5" t="s">
        <v>1610</v>
      </c>
      <c r="C233" s="5" t="s">
        <v>1664</v>
      </c>
      <c r="D233" s="5" t="s">
        <v>1665</v>
      </c>
      <c r="E233" s="5" t="s">
        <v>1666</v>
      </c>
      <c r="F233" s="5" t="s">
        <v>46</v>
      </c>
      <c r="G233" s="5" t="s">
        <v>1657</v>
      </c>
      <c r="H233" s="5"/>
      <c r="I233" s="5" t="s">
        <v>46</v>
      </c>
    </row>
    <row r="234" customFormat="false" ht="52.2" hidden="false" customHeight="false" outlineLevel="0" collapsed="false">
      <c r="A234" s="5" t="s">
        <v>1615</v>
      </c>
      <c r="B234" s="5" t="s">
        <v>1184</v>
      </c>
      <c r="C234" s="5" t="s">
        <v>1616</v>
      </c>
      <c r="D234" s="5" t="s">
        <v>1617</v>
      </c>
      <c r="E234" s="5" t="s">
        <v>1667</v>
      </c>
      <c r="F234" s="5" t="s">
        <v>46</v>
      </c>
      <c r="G234" s="5" t="s">
        <v>1657</v>
      </c>
      <c r="H234" s="5" t="s">
        <v>1614</v>
      </c>
      <c r="I234" s="5" t="s">
        <v>883</v>
      </c>
    </row>
    <row r="235" customFormat="false" ht="64.9" hidden="false" customHeight="false" outlineLevel="0" collapsed="false">
      <c r="A235" s="5" t="s">
        <v>1668</v>
      </c>
      <c r="B235" s="5" t="s">
        <v>1610</v>
      </c>
      <c r="C235" s="5" t="s">
        <v>1669</v>
      </c>
      <c r="D235" s="5" t="s">
        <v>1670</v>
      </c>
      <c r="E235" s="5" t="s">
        <v>1671</v>
      </c>
      <c r="F235" s="5" t="s">
        <v>46</v>
      </c>
      <c r="G235" s="5" t="s">
        <v>1657</v>
      </c>
      <c r="H235" s="5"/>
      <c r="I235" s="5" t="s">
        <v>46</v>
      </c>
    </row>
    <row r="236" customFormat="false" ht="39.55" hidden="false" customHeight="false" outlineLevel="0" collapsed="false">
      <c r="A236" s="5" t="s">
        <v>1619</v>
      </c>
      <c r="B236" s="5" t="s">
        <v>1184</v>
      </c>
      <c r="C236" s="5" t="s">
        <v>1620</v>
      </c>
      <c r="D236" s="5" t="s">
        <v>1672</v>
      </c>
      <c r="E236" s="5" t="s">
        <v>1673</v>
      </c>
      <c r="F236" s="5" t="s">
        <v>46</v>
      </c>
      <c r="G236" s="5" t="s">
        <v>1657</v>
      </c>
      <c r="H236" s="5"/>
      <c r="I236" s="5" t="s">
        <v>46</v>
      </c>
    </row>
    <row r="237" customFormat="false" ht="26.85" hidden="false" customHeight="false" outlineLevel="0" collapsed="false">
      <c r="A237" s="5" t="s">
        <v>1674</v>
      </c>
      <c r="B237" s="5" t="s">
        <v>1077</v>
      </c>
      <c r="C237" s="5" t="s">
        <v>1675</v>
      </c>
      <c r="D237" s="5" t="s">
        <v>920</v>
      </c>
      <c r="E237" s="5" t="s">
        <v>1676</v>
      </c>
      <c r="F237" s="5" t="s">
        <v>46</v>
      </c>
      <c r="G237" s="5" t="s">
        <v>1677</v>
      </c>
      <c r="H237" s="5"/>
      <c r="I237" s="5" t="s">
        <v>46</v>
      </c>
    </row>
    <row r="238" customFormat="false" ht="15" hidden="false" customHeight="false" outlineLevel="0" collapsed="false">
      <c r="A238" s="5" t="s">
        <v>1678</v>
      </c>
      <c r="B238" s="5" t="s">
        <v>1077</v>
      </c>
      <c r="C238" s="5" t="s">
        <v>1679</v>
      </c>
      <c r="D238" s="5" t="s">
        <v>920</v>
      </c>
      <c r="E238" s="5" t="s">
        <v>920</v>
      </c>
      <c r="F238" s="5" t="s">
        <v>46</v>
      </c>
      <c r="G238" s="5" t="s">
        <v>1677</v>
      </c>
      <c r="H238" s="5"/>
      <c r="I238" s="5" t="s">
        <v>46</v>
      </c>
    </row>
    <row r="239" customFormat="false" ht="15" hidden="false" customHeight="false" outlineLevel="0" collapsed="false">
      <c r="A239" s="5" t="s">
        <v>1680</v>
      </c>
      <c r="B239" s="5" t="s">
        <v>1077</v>
      </c>
      <c r="C239" s="5" t="s">
        <v>1681</v>
      </c>
      <c r="D239" s="5" t="s">
        <v>1007</v>
      </c>
      <c r="E239" s="5" t="s">
        <v>1566</v>
      </c>
      <c r="F239" s="5" t="s">
        <v>46</v>
      </c>
      <c r="G239" s="5" t="s">
        <v>1677</v>
      </c>
      <c r="H239" s="5"/>
      <c r="I239" s="5" t="s">
        <v>46</v>
      </c>
    </row>
    <row r="240" customFormat="false" ht="26.85" hidden="false" customHeight="false" outlineLevel="0" collapsed="false">
      <c r="A240" s="5" t="s">
        <v>1682</v>
      </c>
      <c r="B240" s="5" t="s">
        <v>1077</v>
      </c>
      <c r="C240" s="5" t="s">
        <v>1683</v>
      </c>
      <c r="D240" s="5" t="s">
        <v>1007</v>
      </c>
      <c r="E240" s="5" t="s">
        <v>1566</v>
      </c>
      <c r="F240" s="5" t="s">
        <v>46</v>
      </c>
      <c r="G240" s="5" t="s">
        <v>1677</v>
      </c>
      <c r="H240" s="5"/>
      <c r="I240" s="5" t="s">
        <v>46</v>
      </c>
    </row>
    <row r="241" customFormat="false" ht="15" hidden="false" customHeight="false" outlineLevel="0" collapsed="false">
      <c r="A241" s="5" t="s">
        <v>1684</v>
      </c>
      <c r="B241" s="5" t="s">
        <v>1077</v>
      </c>
      <c r="C241" s="5" t="s">
        <v>1685</v>
      </c>
      <c r="D241" s="5" t="s">
        <v>1007</v>
      </c>
      <c r="E241" s="5" t="s">
        <v>1566</v>
      </c>
      <c r="F241" s="5" t="s">
        <v>46</v>
      </c>
      <c r="G241" s="5" t="s">
        <v>1677</v>
      </c>
      <c r="H241" s="5"/>
      <c r="I241" s="5" t="s">
        <v>46</v>
      </c>
    </row>
    <row r="242" customFormat="false" ht="26.85" hidden="false" customHeight="false" outlineLevel="0" collapsed="false">
      <c r="A242" s="5" t="s">
        <v>1686</v>
      </c>
      <c r="B242" s="5" t="s">
        <v>1077</v>
      </c>
      <c r="C242" s="5" t="s">
        <v>1687</v>
      </c>
      <c r="D242" s="5" t="s">
        <v>1007</v>
      </c>
      <c r="E242" s="5" t="s">
        <v>1566</v>
      </c>
      <c r="F242" s="5" t="s">
        <v>46</v>
      </c>
      <c r="G242" s="5" t="s">
        <v>1677</v>
      </c>
      <c r="H242" s="5"/>
      <c r="I242" s="5" t="s">
        <v>46</v>
      </c>
    </row>
    <row r="243" customFormat="false" ht="15" hidden="false" customHeight="false" outlineLevel="0" collapsed="false">
      <c r="A243" s="5" t="s">
        <v>1688</v>
      </c>
      <c r="B243" s="5" t="s">
        <v>1689</v>
      </c>
      <c r="C243" s="5" t="s">
        <v>1690</v>
      </c>
      <c r="D243" s="5" t="s">
        <v>940</v>
      </c>
      <c r="E243" s="5" t="s">
        <v>941</v>
      </c>
      <c r="F243" s="5" t="s">
        <v>46</v>
      </c>
      <c r="G243" s="5" t="s">
        <v>1677</v>
      </c>
      <c r="H243" s="5"/>
      <c r="I243" s="5" t="s">
        <v>46</v>
      </c>
    </row>
    <row r="244" customFormat="false" ht="15" hidden="false" customHeight="false" outlineLevel="0" collapsed="false">
      <c r="A244" s="5" t="s">
        <v>1691</v>
      </c>
      <c r="B244" s="5" t="s">
        <v>1689</v>
      </c>
      <c r="C244" s="5" t="s">
        <v>1692</v>
      </c>
      <c r="D244" s="5" t="s">
        <v>911</v>
      </c>
      <c r="E244" s="5" t="s">
        <v>911</v>
      </c>
      <c r="F244" s="5" t="s">
        <v>46</v>
      </c>
      <c r="G244" s="5" t="s">
        <v>1677</v>
      </c>
      <c r="H244" s="5"/>
      <c r="I244" s="5" t="s">
        <v>46</v>
      </c>
    </row>
    <row r="245" customFormat="false" ht="15" hidden="false" customHeight="false" outlineLevel="0" collapsed="false">
      <c r="A245" s="5" t="s">
        <v>1693</v>
      </c>
      <c r="B245" s="5" t="s">
        <v>1689</v>
      </c>
      <c r="C245" s="5" t="s">
        <v>1694</v>
      </c>
      <c r="D245" s="5" t="s">
        <v>940</v>
      </c>
      <c r="E245" s="5" t="s">
        <v>941</v>
      </c>
      <c r="F245" s="5" t="s">
        <v>46</v>
      </c>
      <c r="G245" s="5" t="s">
        <v>1677</v>
      </c>
      <c r="H245" s="5"/>
      <c r="I245" s="5" t="s">
        <v>46</v>
      </c>
    </row>
    <row r="246" customFormat="false" ht="15" hidden="false" customHeight="false" outlineLevel="0" collapsed="false">
      <c r="A246" s="5" t="s">
        <v>1695</v>
      </c>
      <c r="B246" s="5" t="s">
        <v>1689</v>
      </c>
      <c r="C246" s="5" t="s">
        <v>1696</v>
      </c>
      <c r="D246" s="5" t="s">
        <v>940</v>
      </c>
      <c r="E246" s="5" t="s">
        <v>941</v>
      </c>
      <c r="F246" s="5" t="s">
        <v>46</v>
      </c>
      <c r="G246" s="5" t="s">
        <v>1677</v>
      </c>
      <c r="H246" s="5"/>
      <c r="I246" s="5" t="s">
        <v>46</v>
      </c>
    </row>
    <row r="247" customFormat="false" ht="15" hidden="false" customHeight="false" outlineLevel="0" collapsed="false">
      <c r="A247" s="5" t="s">
        <v>1697</v>
      </c>
      <c r="B247" s="5" t="s">
        <v>1689</v>
      </c>
      <c r="C247" s="5" t="s">
        <v>1698</v>
      </c>
      <c r="D247" s="5" t="s">
        <v>940</v>
      </c>
      <c r="E247" s="5" t="s">
        <v>941</v>
      </c>
      <c r="F247" s="5" t="s">
        <v>46</v>
      </c>
      <c r="G247" s="5" t="s">
        <v>1677</v>
      </c>
      <c r="H247" s="5"/>
      <c r="I247" s="5" t="s">
        <v>46</v>
      </c>
    </row>
    <row r="248" customFormat="false" ht="26.85" hidden="false" customHeight="false" outlineLevel="0" collapsed="false">
      <c r="A248" s="5" t="s">
        <v>1699</v>
      </c>
      <c r="B248" s="5" t="s">
        <v>1689</v>
      </c>
      <c r="C248" s="5" t="s">
        <v>1700</v>
      </c>
      <c r="D248" s="5" t="s">
        <v>920</v>
      </c>
      <c r="E248" s="5" t="s">
        <v>1701</v>
      </c>
      <c r="F248" s="5" t="s">
        <v>46</v>
      </c>
      <c r="G248" s="5" t="s">
        <v>1677</v>
      </c>
      <c r="H248" s="5"/>
      <c r="I248" s="5" t="s">
        <v>46</v>
      </c>
    </row>
    <row r="249" customFormat="false" ht="26.85" hidden="false" customHeight="false" outlineLevel="0" collapsed="false">
      <c r="A249" s="5" t="s">
        <v>1702</v>
      </c>
      <c r="B249" s="5" t="s">
        <v>1689</v>
      </c>
      <c r="C249" s="5" t="s">
        <v>1703</v>
      </c>
      <c r="D249" s="5" t="s">
        <v>920</v>
      </c>
      <c r="E249" s="5" t="s">
        <v>1701</v>
      </c>
      <c r="F249" s="5" t="s">
        <v>46</v>
      </c>
      <c r="G249" s="5" t="s">
        <v>1677</v>
      </c>
      <c r="H249" s="5"/>
      <c r="I249" s="5" t="s">
        <v>46</v>
      </c>
    </row>
    <row r="250" customFormat="false" ht="15" hidden="false" customHeight="false" outlineLevel="0" collapsed="false">
      <c r="A250" s="5" t="s">
        <v>1704</v>
      </c>
      <c r="B250" s="5" t="s">
        <v>1689</v>
      </c>
      <c r="C250" s="5" t="s">
        <v>1705</v>
      </c>
      <c r="D250" s="5" t="s">
        <v>920</v>
      </c>
      <c r="E250" s="5" t="s">
        <v>1706</v>
      </c>
      <c r="F250" s="5" t="s">
        <v>46</v>
      </c>
      <c r="G250" s="5" t="s">
        <v>1677</v>
      </c>
      <c r="H250" s="5"/>
      <c r="I250" s="5" t="s">
        <v>46</v>
      </c>
    </row>
    <row r="251" customFormat="false" ht="39.55" hidden="false" customHeight="false" outlineLevel="0" collapsed="false">
      <c r="A251" s="5" t="s">
        <v>1707</v>
      </c>
      <c r="B251" s="5" t="s">
        <v>1689</v>
      </c>
      <c r="C251" s="5" t="s">
        <v>1708</v>
      </c>
      <c r="D251" s="5" t="s">
        <v>940</v>
      </c>
      <c r="E251" s="5" t="s">
        <v>1709</v>
      </c>
      <c r="F251" s="5" t="s">
        <v>46</v>
      </c>
      <c r="G251" s="5" t="s">
        <v>1677</v>
      </c>
      <c r="H251" s="5"/>
      <c r="I251" s="5" t="s">
        <v>46</v>
      </c>
    </row>
    <row r="252" customFormat="false" ht="39.55" hidden="false" customHeight="false" outlineLevel="0" collapsed="false">
      <c r="A252" s="5" t="s">
        <v>1710</v>
      </c>
      <c r="B252" s="5" t="s">
        <v>1689</v>
      </c>
      <c r="C252" s="5" t="s">
        <v>1711</v>
      </c>
      <c r="D252" s="5" t="s">
        <v>940</v>
      </c>
      <c r="E252" s="5" t="s">
        <v>1709</v>
      </c>
      <c r="F252" s="5" t="s">
        <v>46</v>
      </c>
      <c r="G252" s="5" t="s">
        <v>1677</v>
      </c>
      <c r="H252" s="5"/>
      <c r="I252" s="5" t="s">
        <v>46</v>
      </c>
    </row>
    <row r="253" customFormat="false" ht="39.55" hidden="false" customHeight="false" outlineLevel="0" collapsed="false">
      <c r="A253" s="5" t="s">
        <v>1712</v>
      </c>
      <c r="B253" s="5" t="s">
        <v>1077</v>
      </c>
      <c r="C253" s="5" t="s">
        <v>1713</v>
      </c>
      <c r="D253" s="5" t="s">
        <v>1714</v>
      </c>
      <c r="E253" s="5" t="s">
        <v>1715</v>
      </c>
      <c r="F253" s="5" t="s">
        <v>46</v>
      </c>
      <c r="G253" s="5" t="s">
        <v>1677</v>
      </c>
      <c r="H253" s="5"/>
      <c r="I253" s="5" t="s">
        <v>46</v>
      </c>
    </row>
    <row r="254" customFormat="false" ht="52.2" hidden="false" customHeight="false" outlineLevel="0" collapsed="false">
      <c r="A254" s="5" t="s">
        <v>1716</v>
      </c>
      <c r="B254" s="5" t="s">
        <v>1077</v>
      </c>
      <c r="C254" s="5" t="s">
        <v>1717</v>
      </c>
      <c r="D254" s="5" t="s">
        <v>1718</v>
      </c>
      <c r="E254" s="5" t="s">
        <v>1719</v>
      </c>
      <c r="F254" s="5" t="s">
        <v>46</v>
      </c>
      <c r="G254" s="5" t="s">
        <v>1677</v>
      </c>
      <c r="H254" s="5"/>
      <c r="I254" s="5" t="s">
        <v>46</v>
      </c>
    </row>
    <row r="255" customFormat="false" ht="39.55" hidden="false" customHeight="false" outlineLevel="0" collapsed="false">
      <c r="A255" s="5" t="s">
        <v>1720</v>
      </c>
      <c r="B255" s="5" t="s">
        <v>1077</v>
      </c>
      <c r="C255" s="5" t="s">
        <v>1721</v>
      </c>
      <c r="D255" s="5" t="s">
        <v>1722</v>
      </c>
      <c r="E255" s="5" t="s">
        <v>1723</v>
      </c>
      <c r="F255" s="5" t="s">
        <v>46</v>
      </c>
      <c r="G255" s="5" t="s">
        <v>1677</v>
      </c>
      <c r="H255" s="5"/>
      <c r="I255" s="5" t="s">
        <v>46</v>
      </c>
    </row>
    <row r="256" customFormat="false" ht="52.2" hidden="false" customHeight="false" outlineLevel="0" collapsed="false">
      <c r="A256" s="5" t="s">
        <v>1724</v>
      </c>
      <c r="B256" s="5" t="s">
        <v>1077</v>
      </c>
      <c r="C256" s="5" t="s">
        <v>1725</v>
      </c>
      <c r="D256" s="5" t="s">
        <v>1722</v>
      </c>
      <c r="E256" s="5" t="s">
        <v>1723</v>
      </c>
      <c r="F256" s="5" t="s">
        <v>46</v>
      </c>
      <c r="G256" s="5" t="s">
        <v>1677</v>
      </c>
      <c r="H256" s="5"/>
      <c r="I256" s="5" t="s">
        <v>46</v>
      </c>
    </row>
    <row r="257" customFormat="false" ht="64.9" hidden="false" customHeight="false" outlineLevel="0" collapsed="false">
      <c r="A257" s="5" t="s">
        <v>1726</v>
      </c>
      <c r="B257" s="5" t="s">
        <v>1077</v>
      </c>
      <c r="C257" s="5" t="s">
        <v>1727</v>
      </c>
      <c r="D257" s="5" t="s">
        <v>1722</v>
      </c>
      <c r="E257" s="5" t="s">
        <v>1723</v>
      </c>
      <c r="F257" s="5" t="s">
        <v>46</v>
      </c>
      <c r="G257" s="5" t="s">
        <v>1677</v>
      </c>
      <c r="H257" s="5"/>
      <c r="I257" s="5" t="s">
        <v>46</v>
      </c>
    </row>
    <row r="258" customFormat="false" ht="39.55" hidden="false" customHeight="false" outlineLevel="0" collapsed="false">
      <c r="A258" s="5" t="s">
        <v>1728</v>
      </c>
      <c r="B258" s="5" t="s">
        <v>1077</v>
      </c>
      <c r="C258" s="5" t="s">
        <v>1729</v>
      </c>
      <c r="D258" s="5" t="s">
        <v>1722</v>
      </c>
      <c r="E258" s="5" t="s">
        <v>1723</v>
      </c>
      <c r="F258" s="5" t="s">
        <v>46</v>
      </c>
      <c r="G258" s="5" t="s">
        <v>1677</v>
      </c>
      <c r="H258" s="5"/>
      <c r="I258" s="5" t="s">
        <v>46</v>
      </c>
    </row>
    <row r="259" customFormat="false" ht="52.2" hidden="false" customHeight="false" outlineLevel="0" collapsed="false">
      <c r="A259" s="5" t="s">
        <v>1730</v>
      </c>
      <c r="B259" s="5" t="s">
        <v>1077</v>
      </c>
      <c r="C259" s="5" t="s">
        <v>1731</v>
      </c>
      <c r="D259" s="5" t="s">
        <v>1722</v>
      </c>
      <c r="E259" s="5" t="s">
        <v>1723</v>
      </c>
      <c r="F259" s="5" t="s">
        <v>46</v>
      </c>
      <c r="G259" s="5" t="s">
        <v>1677</v>
      </c>
      <c r="H259" s="5"/>
      <c r="I259" s="5" t="s">
        <v>46</v>
      </c>
    </row>
    <row r="260" customFormat="false" ht="15" hidden="false" customHeight="false" outlineLevel="0" collapsed="false">
      <c r="A260" s="5" t="s">
        <v>1732</v>
      </c>
      <c r="B260" s="5" t="s">
        <v>1077</v>
      </c>
      <c r="C260" s="5" t="s">
        <v>1733</v>
      </c>
      <c r="D260" s="5" t="s">
        <v>1513</v>
      </c>
      <c r="E260" s="5" t="s">
        <v>1734</v>
      </c>
      <c r="F260" s="5" t="s">
        <v>46</v>
      </c>
      <c r="G260" s="5" t="s">
        <v>1677</v>
      </c>
      <c r="H260" s="5"/>
      <c r="I260" s="5" t="s">
        <v>46</v>
      </c>
    </row>
    <row r="261" customFormat="false" ht="26.85" hidden="false" customHeight="false" outlineLevel="0" collapsed="false">
      <c r="A261" s="5" t="s">
        <v>1735</v>
      </c>
      <c r="B261" s="5" t="s">
        <v>914</v>
      </c>
      <c r="C261" s="5" t="s">
        <v>1736</v>
      </c>
      <c r="D261" s="5" t="s">
        <v>1737</v>
      </c>
      <c r="E261" s="5" t="s">
        <v>1738</v>
      </c>
      <c r="F261" s="5" t="s">
        <v>46</v>
      </c>
      <c r="G261" s="5" t="s">
        <v>1677</v>
      </c>
      <c r="H261" s="5"/>
      <c r="I261" s="5" t="s">
        <v>46</v>
      </c>
    </row>
    <row r="262" customFormat="false" ht="39.55" hidden="false" customHeight="false" outlineLevel="0" collapsed="false">
      <c r="A262" s="5" t="s">
        <v>1739</v>
      </c>
      <c r="B262" s="5" t="s">
        <v>914</v>
      </c>
      <c r="C262" s="5" t="s">
        <v>1740</v>
      </c>
      <c r="D262" s="5" t="s">
        <v>1741</v>
      </c>
      <c r="E262" s="5" t="s">
        <v>1742</v>
      </c>
      <c r="F262" s="5" t="s">
        <v>46</v>
      </c>
      <c r="G262" s="5" t="s">
        <v>1677</v>
      </c>
      <c r="H262" s="5"/>
      <c r="I262" s="5" t="s">
        <v>46</v>
      </c>
    </row>
    <row r="263" customFormat="false" ht="52.2" hidden="false" customHeight="false" outlineLevel="0" collapsed="false">
      <c r="A263" s="5" t="s">
        <v>1743</v>
      </c>
      <c r="B263" s="5" t="s">
        <v>1077</v>
      </c>
      <c r="C263" s="5" t="s">
        <v>1744</v>
      </c>
      <c r="D263" s="5" t="s">
        <v>1745</v>
      </c>
      <c r="E263" s="5" t="s">
        <v>1746</v>
      </c>
      <c r="F263" s="5" t="s">
        <v>46</v>
      </c>
      <c r="G263" s="5" t="s">
        <v>1677</v>
      </c>
      <c r="H263" s="5"/>
      <c r="I263" s="5" t="s">
        <v>46</v>
      </c>
    </row>
    <row r="264" customFormat="false" ht="26.85" hidden="false" customHeight="false" outlineLevel="0" collapsed="false">
      <c r="A264" s="5" t="s">
        <v>1251</v>
      </c>
      <c r="B264" s="5" t="s">
        <v>1077</v>
      </c>
      <c r="C264" s="5" t="s">
        <v>1747</v>
      </c>
      <c r="D264" s="5" t="s">
        <v>1748</v>
      </c>
      <c r="E264" s="5" t="s">
        <v>1749</v>
      </c>
      <c r="F264" s="5" t="s">
        <v>46</v>
      </c>
      <c r="G264" s="5" t="s">
        <v>1677</v>
      </c>
      <c r="H264" s="5"/>
      <c r="I264" s="5" t="s">
        <v>46</v>
      </c>
    </row>
    <row r="265" customFormat="false" ht="26.85" hidden="false" customHeight="false" outlineLevel="0" collapsed="false">
      <c r="A265" s="5" t="s">
        <v>1254</v>
      </c>
      <c r="B265" s="5" t="s">
        <v>1077</v>
      </c>
      <c r="C265" s="5" t="s">
        <v>1750</v>
      </c>
      <c r="D265" s="5" t="s">
        <v>1751</v>
      </c>
      <c r="E265" s="5" t="s">
        <v>1752</v>
      </c>
      <c r="F265" s="5" t="s">
        <v>46</v>
      </c>
      <c r="G265" s="5" t="s">
        <v>1677</v>
      </c>
      <c r="H265" s="5"/>
      <c r="I265" s="5" t="s">
        <v>46</v>
      </c>
    </row>
    <row r="266" customFormat="false" ht="15" hidden="false" customHeight="false" outlineLevel="0" collapsed="false">
      <c r="A266" s="5" t="s">
        <v>1256</v>
      </c>
      <c r="B266" s="5" t="s">
        <v>1077</v>
      </c>
      <c r="C266" s="5" t="s">
        <v>1753</v>
      </c>
      <c r="D266" s="5" t="s">
        <v>1754</v>
      </c>
      <c r="E266" s="5" t="s">
        <v>1007</v>
      </c>
      <c r="F266" s="5" t="s">
        <v>46</v>
      </c>
      <c r="G266" s="5" t="s">
        <v>1677</v>
      </c>
      <c r="H266" s="5"/>
      <c r="I266" s="5" t="s">
        <v>46</v>
      </c>
    </row>
    <row r="267" customFormat="false" ht="26.85" hidden="false" customHeight="false" outlineLevel="0" collapsed="false">
      <c r="A267" s="5" t="s">
        <v>1260</v>
      </c>
      <c r="B267" s="5" t="s">
        <v>1077</v>
      </c>
      <c r="C267" s="5" t="s">
        <v>1755</v>
      </c>
      <c r="D267" s="5" t="s">
        <v>920</v>
      </c>
      <c r="E267" s="5" t="s">
        <v>1756</v>
      </c>
      <c r="F267" s="5" t="s">
        <v>46</v>
      </c>
      <c r="G267" s="5" t="s">
        <v>1677</v>
      </c>
      <c r="H267" s="5"/>
      <c r="I267" s="5" t="s">
        <v>46</v>
      </c>
    </row>
    <row r="268" customFormat="false" ht="15" hidden="false" customHeight="false" outlineLevel="0" collapsed="false">
      <c r="A268" s="5" t="s">
        <v>1757</v>
      </c>
      <c r="B268" s="5" t="s">
        <v>1689</v>
      </c>
      <c r="C268" s="5" t="s">
        <v>1758</v>
      </c>
      <c r="D268" s="5" t="s">
        <v>1759</v>
      </c>
      <c r="E268" s="5" t="s">
        <v>1760</v>
      </c>
      <c r="F268" s="5" t="s">
        <v>46</v>
      </c>
      <c r="G268" s="5" t="s">
        <v>1677</v>
      </c>
      <c r="H268" s="5"/>
      <c r="I268" s="5" t="s">
        <v>46</v>
      </c>
    </row>
    <row r="269" customFormat="false" ht="15" hidden="false" customHeight="false" outlineLevel="0" collapsed="false">
      <c r="A269" s="5" t="s">
        <v>1761</v>
      </c>
      <c r="B269" s="5" t="s">
        <v>1762</v>
      </c>
      <c r="C269" s="5" t="s">
        <v>1763</v>
      </c>
      <c r="D269" s="5" t="s">
        <v>1764</v>
      </c>
      <c r="E269" s="5" t="s">
        <v>934</v>
      </c>
      <c r="F269" s="5" t="s">
        <v>46</v>
      </c>
      <c r="G269" s="5" t="s">
        <v>1677</v>
      </c>
      <c r="H269" s="5"/>
      <c r="I269" s="5" t="s">
        <v>46</v>
      </c>
    </row>
    <row r="270" customFormat="false" ht="15" hidden="false" customHeight="false" outlineLevel="0" collapsed="false">
      <c r="A270" s="5" t="s">
        <v>1765</v>
      </c>
      <c r="B270" s="5" t="s">
        <v>1762</v>
      </c>
      <c r="C270" s="5" t="s">
        <v>1766</v>
      </c>
      <c r="D270" s="5" t="s">
        <v>1764</v>
      </c>
      <c r="E270" s="5" t="s">
        <v>934</v>
      </c>
      <c r="F270" s="5" t="s">
        <v>46</v>
      </c>
      <c r="G270" s="5" t="s">
        <v>1677</v>
      </c>
      <c r="H270" s="5"/>
      <c r="I270" s="5" t="s">
        <v>46</v>
      </c>
    </row>
    <row r="271" customFormat="false" ht="15" hidden="false" customHeight="false" outlineLevel="0" collapsed="false">
      <c r="A271" s="5" t="s">
        <v>1767</v>
      </c>
      <c r="B271" s="5" t="s">
        <v>1762</v>
      </c>
      <c r="C271" s="5" t="s">
        <v>1768</v>
      </c>
      <c r="D271" s="5" t="s">
        <v>1769</v>
      </c>
      <c r="E271" s="5" t="s">
        <v>1770</v>
      </c>
      <c r="F271" s="5" t="s">
        <v>46</v>
      </c>
      <c r="G271" s="5" t="s">
        <v>1677</v>
      </c>
      <c r="H271" s="5"/>
      <c r="I271" s="5" t="s">
        <v>46</v>
      </c>
    </row>
    <row r="272" customFormat="false" ht="15" hidden="false" customHeight="false" outlineLevel="0" collapsed="false">
      <c r="A272" s="5" t="s">
        <v>1771</v>
      </c>
      <c r="B272" s="5" t="s">
        <v>1772</v>
      </c>
      <c r="C272" s="5" t="s">
        <v>1773</v>
      </c>
      <c r="D272" s="5" t="s">
        <v>1774</v>
      </c>
      <c r="E272" s="5" t="s">
        <v>1775</v>
      </c>
      <c r="F272" s="5" t="s">
        <v>46</v>
      </c>
      <c r="G272" s="5" t="s">
        <v>1776</v>
      </c>
      <c r="H272" s="5"/>
      <c r="I272" s="5" t="s">
        <v>46</v>
      </c>
    </row>
    <row r="273" customFormat="false" ht="52.2" hidden="false" customHeight="false" outlineLevel="0" collapsed="false">
      <c r="A273" s="5" t="s">
        <v>1777</v>
      </c>
      <c r="B273" s="5" t="s">
        <v>1772</v>
      </c>
      <c r="C273" s="5" t="s">
        <v>1778</v>
      </c>
      <c r="D273" s="5" t="s">
        <v>1779</v>
      </c>
      <c r="E273" s="5" t="s">
        <v>1780</v>
      </c>
      <c r="F273" s="5" t="s">
        <v>46</v>
      </c>
      <c r="G273" s="5" t="s">
        <v>1776</v>
      </c>
      <c r="H273" s="5"/>
      <c r="I273" s="5" t="s">
        <v>46</v>
      </c>
    </row>
    <row r="274" customFormat="false" ht="15" hidden="false" customHeight="false" outlineLevel="0" collapsed="false">
      <c r="A274" s="5" t="s">
        <v>1781</v>
      </c>
      <c r="B274" s="5" t="s">
        <v>1772</v>
      </c>
      <c r="C274" s="5" t="s">
        <v>1782</v>
      </c>
      <c r="D274" s="5" t="s">
        <v>1783</v>
      </c>
      <c r="E274" s="5" t="s">
        <v>1784</v>
      </c>
      <c r="F274" s="5" t="s">
        <v>46</v>
      </c>
      <c r="G274" s="5" t="s">
        <v>1776</v>
      </c>
      <c r="H274" s="5"/>
      <c r="I274" s="5" t="s">
        <v>46</v>
      </c>
    </row>
    <row r="275" customFormat="false" ht="52.2" hidden="false" customHeight="false" outlineLevel="0" collapsed="false">
      <c r="A275" s="5" t="s">
        <v>1785</v>
      </c>
      <c r="B275" s="5" t="s">
        <v>1772</v>
      </c>
      <c r="C275" s="5" t="s">
        <v>1786</v>
      </c>
      <c r="D275" s="5" t="s">
        <v>1787</v>
      </c>
      <c r="E275" s="5" t="s">
        <v>1788</v>
      </c>
      <c r="F275" s="5" t="s">
        <v>46</v>
      </c>
      <c r="G275" s="5" t="s">
        <v>1776</v>
      </c>
      <c r="H275" s="5"/>
      <c r="I275" s="5" t="s">
        <v>46</v>
      </c>
    </row>
    <row r="276" customFormat="false" ht="15" hidden="false" customHeight="false" outlineLevel="0" collapsed="false">
      <c r="A276" s="5" t="s">
        <v>1789</v>
      </c>
      <c r="B276" s="5" t="s">
        <v>1772</v>
      </c>
      <c r="C276" s="5" t="s">
        <v>1790</v>
      </c>
      <c r="D276" s="5" t="s">
        <v>1791</v>
      </c>
      <c r="E276" s="5" t="s">
        <v>1792</v>
      </c>
      <c r="F276" s="5" t="s">
        <v>46</v>
      </c>
      <c r="G276" s="5" t="s">
        <v>1776</v>
      </c>
      <c r="H276" s="5"/>
      <c r="I276" s="5" t="s">
        <v>46</v>
      </c>
    </row>
    <row r="277" customFormat="false" ht="15" hidden="false" customHeight="false" outlineLevel="0" collapsed="false">
      <c r="A277" s="5" t="s">
        <v>1793</v>
      </c>
      <c r="B277" s="5" t="s">
        <v>1772</v>
      </c>
      <c r="C277" s="5" t="s">
        <v>1794</v>
      </c>
      <c r="D277" s="5" t="s">
        <v>1795</v>
      </c>
      <c r="E277" s="5" t="s">
        <v>1796</v>
      </c>
      <c r="F277" s="5" t="s">
        <v>46</v>
      </c>
      <c r="G277" s="5" t="s">
        <v>1776</v>
      </c>
      <c r="H277" s="5"/>
      <c r="I277" s="5" t="s">
        <v>46</v>
      </c>
    </row>
    <row r="278" customFormat="false" ht="26.85" hidden="false" customHeight="false" outlineLevel="0" collapsed="false">
      <c r="A278" s="5" t="s">
        <v>1797</v>
      </c>
      <c r="B278" s="5" t="s">
        <v>1798</v>
      </c>
      <c r="C278" s="5" t="s">
        <v>1799</v>
      </c>
      <c r="D278" s="5" t="s">
        <v>1800</v>
      </c>
      <c r="E278" s="5" t="s">
        <v>1801</v>
      </c>
      <c r="F278" s="5" t="s">
        <v>46</v>
      </c>
      <c r="G278" s="5" t="s">
        <v>1802</v>
      </c>
      <c r="H278" s="5"/>
      <c r="I278" s="5" t="s">
        <v>46</v>
      </c>
    </row>
    <row r="279" customFormat="false" ht="26.85" hidden="false" customHeight="false" outlineLevel="0" collapsed="false">
      <c r="A279" s="5" t="s">
        <v>1803</v>
      </c>
      <c r="B279" s="5" t="s">
        <v>1804</v>
      </c>
      <c r="C279" s="5" t="s">
        <v>1805</v>
      </c>
      <c r="D279" s="5" t="s">
        <v>1806</v>
      </c>
      <c r="E279" s="5" t="s">
        <v>1807</v>
      </c>
      <c r="F279" s="5" t="s">
        <v>46</v>
      </c>
      <c r="G279" s="5" t="s">
        <v>1802</v>
      </c>
      <c r="H279" s="5"/>
      <c r="I279" s="5" t="s">
        <v>46</v>
      </c>
    </row>
    <row r="280" customFormat="false" ht="26.85" hidden="false" customHeight="false" outlineLevel="0" collapsed="false">
      <c r="A280" s="5" t="s">
        <v>1808</v>
      </c>
      <c r="B280" s="5" t="s">
        <v>1804</v>
      </c>
      <c r="C280" s="5" t="s">
        <v>1809</v>
      </c>
      <c r="D280" s="5" t="s">
        <v>1810</v>
      </c>
      <c r="E280" s="5" t="s">
        <v>1811</v>
      </c>
      <c r="F280" s="5" t="s">
        <v>46</v>
      </c>
      <c r="G280" s="5" t="s">
        <v>1802</v>
      </c>
      <c r="H280" s="5"/>
      <c r="I280" s="5" t="s">
        <v>46</v>
      </c>
    </row>
    <row r="281" customFormat="false" ht="64.9" hidden="false" customHeight="false" outlineLevel="0" collapsed="false">
      <c r="A281" s="5" t="s">
        <v>1812</v>
      </c>
      <c r="B281" s="5" t="s">
        <v>1804</v>
      </c>
      <c r="C281" s="5" t="s">
        <v>1813</v>
      </c>
      <c r="D281" s="5" t="s">
        <v>1814</v>
      </c>
      <c r="E281" s="5" t="s">
        <v>1815</v>
      </c>
      <c r="F281" s="5" t="s">
        <v>46</v>
      </c>
      <c r="G281" s="5" t="s">
        <v>1802</v>
      </c>
      <c r="H281" s="5"/>
      <c r="I281" s="5" t="s">
        <v>46</v>
      </c>
    </row>
    <row r="282" customFormat="false" ht="26.85" hidden="false" customHeight="false" outlineLevel="0" collapsed="false">
      <c r="A282" s="5" t="s">
        <v>1816</v>
      </c>
      <c r="B282" s="5" t="s">
        <v>1817</v>
      </c>
      <c r="C282" s="5" t="s">
        <v>1818</v>
      </c>
      <c r="D282" s="5" t="s">
        <v>1819</v>
      </c>
      <c r="E282" s="5" t="s">
        <v>1209</v>
      </c>
      <c r="F282" s="5" t="s">
        <v>881</v>
      </c>
      <c r="G282" s="5" t="s">
        <v>1802</v>
      </c>
      <c r="H282" s="5" t="s">
        <v>1820</v>
      </c>
      <c r="I282" s="5" t="s">
        <v>883</v>
      </c>
    </row>
    <row r="283" customFormat="false" ht="15" hidden="false" customHeight="false" outlineLevel="0" collapsed="false">
      <c r="A283" s="5" t="s">
        <v>1821</v>
      </c>
      <c r="B283" s="5" t="s">
        <v>1822</v>
      </c>
      <c r="C283" s="5" t="s">
        <v>1823</v>
      </c>
      <c r="D283" s="5" t="s">
        <v>1795</v>
      </c>
      <c r="E283" s="5" t="s">
        <v>1824</v>
      </c>
      <c r="F283" s="5" t="s">
        <v>46</v>
      </c>
      <c r="G283" s="5" t="s">
        <v>1802</v>
      </c>
      <c r="H283" s="5"/>
      <c r="I283" s="5" t="s">
        <v>46</v>
      </c>
    </row>
    <row r="284" customFormat="false" ht="39.55" hidden="false" customHeight="false" outlineLevel="0" collapsed="false">
      <c r="A284" s="5" t="s">
        <v>1825</v>
      </c>
      <c r="B284" s="5" t="s">
        <v>822</v>
      </c>
      <c r="C284" s="5" t="s">
        <v>1826</v>
      </c>
      <c r="D284" s="5" t="s">
        <v>1827</v>
      </c>
      <c r="E284" s="5" t="s">
        <v>1828</v>
      </c>
      <c r="F284" s="5" t="s">
        <v>46</v>
      </c>
      <c r="G284" s="5" t="s">
        <v>1829</v>
      </c>
      <c r="H284" s="5"/>
      <c r="I284" s="5" t="s">
        <v>46</v>
      </c>
    </row>
    <row r="285" customFormat="false" ht="64.9" hidden="false" customHeight="false" outlineLevel="0" collapsed="false">
      <c r="A285" s="5" t="s">
        <v>1830</v>
      </c>
      <c r="B285" s="5" t="s">
        <v>822</v>
      </c>
      <c r="C285" s="5" t="s">
        <v>1831</v>
      </c>
      <c r="D285" s="5" t="s">
        <v>1832</v>
      </c>
      <c r="E285" s="5" t="s">
        <v>1833</v>
      </c>
      <c r="F285" s="5" t="s">
        <v>46</v>
      </c>
      <c r="G285" s="5" t="s">
        <v>1829</v>
      </c>
      <c r="H285" s="5"/>
      <c r="I285" s="5" t="s">
        <v>46</v>
      </c>
    </row>
    <row r="286" customFormat="false" ht="64.9" hidden="false" customHeight="false" outlineLevel="0" collapsed="false">
      <c r="A286" s="5" t="s">
        <v>1834</v>
      </c>
      <c r="B286" s="5" t="s">
        <v>822</v>
      </c>
      <c r="C286" s="5" t="s">
        <v>1835</v>
      </c>
      <c r="D286" s="5" t="s">
        <v>911</v>
      </c>
      <c r="E286" s="5" t="s">
        <v>1836</v>
      </c>
      <c r="F286" s="5" t="s">
        <v>46</v>
      </c>
      <c r="G286" s="5" t="s">
        <v>1829</v>
      </c>
      <c r="H286" s="5"/>
      <c r="I286" s="5" t="s">
        <v>46</v>
      </c>
    </row>
    <row r="287" customFormat="false" ht="77.6" hidden="false" customHeight="false" outlineLevel="0" collapsed="false">
      <c r="A287" s="5" t="s">
        <v>1837</v>
      </c>
      <c r="B287" s="5" t="s">
        <v>822</v>
      </c>
      <c r="C287" s="5" t="s">
        <v>1838</v>
      </c>
      <c r="D287" s="5" t="s">
        <v>911</v>
      </c>
      <c r="E287" s="5" t="s">
        <v>1839</v>
      </c>
      <c r="F287" s="5" t="s">
        <v>46</v>
      </c>
      <c r="G287" s="5" t="s">
        <v>1829</v>
      </c>
      <c r="H287" s="5"/>
      <c r="I287" s="5" t="s">
        <v>46</v>
      </c>
    </row>
    <row r="288" customFormat="false" ht="52.2" hidden="false" customHeight="false" outlineLevel="0" collapsed="false">
      <c r="A288" s="5" t="s">
        <v>1840</v>
      </c>
      <c r="B288" s="5" t="s">
        <v>822</v>
      </c>
      <c r="C288" s="5" t="s">
        <v>1841</v>
      </c>
      <c r="D288" s="5" t="s">
        <v>911</v>
      </c>
      <c r="E288" s="5" t="s">
        <v>1842</v>
      </c>
      <c r="F288" s="5" t="s">
        <v>46</v>
      </c>
      <c r="G288" s="5" t="s">
        <v>1829</v>
      </c>
      <c r="H288" s="5"/>
      <c r="I288" s="5" t="s">
        <v>46</v>
      </c>
    </row>
    <row r="289" customFormat="false" ht="52.2" hidden="false" customHeight="false" outlineLevel="0" collapsed="false">
      <c r="A289" s="5" t="s">
        <v>1843</v>
      </c>
      <c r="B289" s="5" t="s">
        <v>822</v>
      </c>
      <c r="C289" s="5" t="s">
        <v>1844</v>
      </c>
      <c r="D289" s="5" t="s">
        <v>1845</v>
      </c>
      <c r="E289" s="5" t="s">
        <v>1845</v>
      </c>
      <c r="F289" s="5" t="s">
        <v>46</v>
      </c>
      <c r="G289" s="5" t="s">
        <v>1829</v>
      </c>
      <c r="H289" s="5"/>
      <c r="I289" s="5" t="s">
        <v>46</v>
      </c>
    </row>
    <row r="290" customFormat="false" ht="64.9" hidden="false" customHeight="false" outlineLevel="0" collapsed="false">
      <c r="A290" s="5" t="s">
        <v>1846</v>
      </c>
      <c r="B290" s="5" t="s">
        <v>822</v>
      </c>
      <c r="C290" s="5" t="s">
        <v>1847</v>
      </c>
      <c r="D290" s="5" t="s">
        <v>1832</v>
      </c>
      <c r="E290" s="5" t="s">
        <v>1848</v>
      </c>
      <c r="F290" s="5" t="s">
        <v>46</v>
      </c>
      <c r="G290" s="5" t="s">
        <v>1829</v>
      </c>
      <c r="H290" s="5"/>
      <c r="I290" s="5" t="s">
        <v>46</v>
      </c>
    </row>
    <row r="291" customFormat="false" ht="64.9" hidden="false" customHeight="false" outlineLevel="0" collapsed="false">
      <c r="A291" s="5" t="s">
        <v>1849</v>
      </c>
      <c r="B291" s="5" t="s">
        <v>822</v>
      </c>
      <c r="C291" s="5" t="s">
        <v>1850</v>
      </c>
      <c r="D291" s="5" t="s">
        <v>911</v>
      </c>
      <c r="E291" s="5" t="s">
        <v>1851</v>
      </c>
      <c r="F291" s="5" t="s">
        <v>46</v>
      </c>
      <c r="G291" s="5" t="s">
        <v>1829</v>
      </c>
      <c r="H291" s="5"/>
      <c r="I291" s="5" t="s">
        <v>46</v>
      </c>
    </row>
    <row r="292" customFormat="false" ht="77.6" hidden="false" customHeight="false" outlineLevel="0" collapsed="false">
      <c r="A292" s="5" t="s">
        <v>1852</v>
      </c>
      <c r="B292" s="5" t="s">
        <v>822</v>
      </c>
      <c r="C292" s="5" t="s">
        <v>1853</v>
      </c>
      <c r="D292" s="5" t="s">
        <v>911</v>
      </c>
      <c r="E292" s="5" t="s">
        <v>1854</v>
      </c>
      <c r="F292" s="5" t="s">
        <v>46</v>
      </c>
      <c r="G292" s="5" t="s">
        <v>1829</v>
      </c>
      <c r="H292" s="5"/>
      <c r="I292" s="5" t="s">
        <v>46</v>
      </c>
    </row>
    <row r="293" customFormat="false" ht="52.2" hidden="false" customHeight="false" outlineLevel="0" collapsed="false">
      <c r="A293" s="5" t="s">
        <v>1855</v>
      </c>
      <c r="B293" s="5" t="s">
        <v>822</v>
      </c>
      <c r="C293" s="5" t="s">
        <v>1856</v>
      </c>
      <c r="D293" s="5" t="s">
        <v>911</v>
      </c>
      <c r="E293" s="5" t="s">
        <v>1857</v>
      </c>
      <c r="F293" s="5" t="s">
        <v>46</v>
      </c>
      <c r="G293" s="5" t="s">
        <v>1829</v>
      </c>
      <c r="H293" s="5"/>
      <c r="I293" s="5" t="s">
        <v>46</v>
      </c>
    </row>
    <row r="294" customFormat="false" ht="52.2" hidden="false" customHeight="false" outlineLevel="0" collapsed="false">
      <c r="A294" s="5" t="s">
        <v>1858</v>
      </c>
      <c r="B294" s="5" t="s">
        <v>822</v>
      </c>
      <c r="C294" s="5" t="s">
        <v>1859</v>
      </c>
      <c r="D294" s="5" t="s">
        <v>1845</v>
      </c>
      <c r="E294" s="5" t="s">
        <v>1845</v>
      </c>
      <c r="F294" s="5" t="s">
        <v>46</v>
      </c>
      <c r="G294" s="5" t="s">
        <v>1829</v>
      </c>
      <c r="H294" s="5"/>
      <c r="I294" s="5" t="s">
        <v>46</v>
      </c>
    </row>
    <row r="295" customFormat="false" ht="39.55" hidden="false" customHeight="false" outlineLevel="0" collapsed="false">
      <c r="A295" s="5" t="s">
        <v>1860</v>
      </c>
      <c r="B295" s="5" t="s">
        <v>822</v>
      </c>
      <c r="C295" s="5" t="s">
        <v>1861</v>
      </c>
      <c r="D295" s="5" t="s">
        <v>1862</v>
      </c>
      <c r="E295" s="5" t="s">
        <v>1863</v>
      </c>
      <c r="F295" s="5" t="s">
        <v>46</v>
      </c>
      <c r="G295" s="5" t="s">
        <v>1829</v>
      </c>
      <c r="H295" s="5"/>
      <c r="I295" s="5" t="s">
        <v>46</v>
      </c>
    </row>
    <row r="296" customFormat="false" ht="90.25" hidden="false" customHeight="false" outlineLevel="0" collapsed="false">
      <c r="A296" s="5" t="s">
        <v>1864</v>
      </c>
      <c r="B296" s="5" t="s">
        <v>822</v>
      </c>
      <c r="C296" s="5" t="s">
        <v>1865</v>
      </c>
      <c r="D296" s="5" t="s">
        <v>1866</v>
      </c>
      <c r="E296" s="5" t="s">
        <v>1867</v>
      </c>
      <c r="F296" s="5" t="s">
        <v>46</v>
      </c>
      <c r="G296" s="5" t="s">
        <v>1829</v>
      </c>
      <c r="H296" s="5"/>
      <c r="I296" s="5" t="s">
        <v>46</v>
      </c>
    </row>
    <row r="297" customFormat="false" ht="15" hidden="false" customHeight="false" outlineLevel="0" collapsed="false">
      <c r="A297" s="2"/>
      <c r="B297" s="2"/>
      <c r="C297" s="2"/>
      <c r="D297" s="2"/>
      <c r="E297" s="2"/>
      <c r="F297" s="2"/>
      <c r="G297" s="2"/>
      <c r="H297" s="2"/>
      <c r="I297" s="2"/>
    </row>
    <row r="298" customFormat="false" ht="15" hidden="false" customHeight="false" outlineLevel="0" collapsed="false">
      <c r="A298" s="7" t="s">
        <v>1868</v>
      </c>
      <c r="B298" s="2"/>
      <c r="C298" s="2"/>
      <c r="D298" s="2"/>
      <c r="E298" s="2"/>
      <c r="F298" s="2"/>
      <c r="G298" s="2"/>
      <c r="H298" s="2"/>
      <c r="I298" s="2"/>
    </row>
  </sheetData>
  <autoFilter ref="A1:I296"/>
  <conditionalFormatting sqref="F2:F296">
    <cfRule type="cellIs" priority="2" operator="equal" aboveAverage="0" equalAverage="0" bottom="0" percent="0" rank="0" text="" dxfId="5">
      <formula>"PASS"</formula>
    </cfRule>
    <cfRule type="cellIs" priority="3" operator="equal" aboveAverage="0" equalAverage="0" bottom="0" percent="0" rank="0" text="" dxfId="6">
      <formula>"FAIL"</formula>
    </cfRule>
    <cfRule type="cellIs" priority="4" operator="equal" aboveAverage="0" equalAverage="0" bottom="0" percent="0" rank="0" text="" dxfId="7">
      <formula>"Not run"</formula>
    </cfRule>
  </conditionalFormatting>
  <conditionalFormatting sqref="I2:I296">
    <cfRule type="cellIs" priority="5" operator="equal" aboveAverage="0" equalAverage="0" bottom="0" percent="0" rank="0" text="" dxfId="5">
      <formula>"PASS"</formula>
    </cfRule>
    <cfRule type="cellIs" priority="6" operator="equal" aboveAverage="0" equalAverage="0" bottom="0" percent="0" rank="0" text="" dxfId="6">
      <formula>"FAIL"</formula>
    </cfRule>
    <cfRule type="cellIs" priority="7" operator="equal" aboveAverage="0" equalAverage="0" bottom="0" percent="0" rank="0" text="" dxfId="7">
      <formula>"Not run"</formula>
    </cfRule>
    <cfRule type="cellIs" priority="8" operator="equal" aboveAverage="0" equalAverage="0" bottom="0" percent="0" rank="0" text="" dxfId="6">
      <formula>"Open"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2" min="1" style="0" width="9"/>
    <col collapsed="false" customWidth="true" hidden="false" outlineLevel="0" max="3" min="3" style="0" width="10"/>
    <col collapsed="false" customWidth="true" hidden="false" outlineLevel="0" max="4" min="4" style="0" width="11"/>
    <col collapsed="false" customWidth="true" hidden="false" outlineLevel="0" max="6" min="5" style="0" width="60"/>
    <col collapsed="false" customWidth="true" hidden="false" outlineLevel="0" max="7" min="7" style="0" width="34"/>
    <col collapsed="false" customWidth="true" hidden="false" outlineLevel="0" max="8" min="8" style="0" width="12"/>
    <col collapsed="false" customWidth="true" hidden="false" outlineLevel="0" max="9" min="9" style="0" width="10"/>
  </cols>
  <sheetData>
    <row r="1" customFormat="false" ht="39.55" hidden="false" customHeight="false" outlineLevel="0" collapsed="false">
      <c r="A1" s="4" t="s">
        <v>1869</v>
      </c>
      <c r="B1" s="4" t="s">
        <v>1870</v>
      </c>
      <c r="C1" s="4" t="s">
        <v>1871</v>
      </c>
      <c r="D1" s="4" t="s">
        <v>1872</v>
      </c>
      <c r="E1" s="4" t="s">
        <v>1873</v>
      </c>
      <c r="F1" s="4" t="s">
        <v>1874</v>
      </c>
      <c r="G1" s="4" t="s">
        <v>1875</v>
      </c>
      <c r="H1" s="4" t="s">
        <v>1876</v>
      </c>
      <c r="I1" s="4" t="s">
        <v>1877</v>
      </c>
    </row>
    <row r="2" customFormat="false" ht="39.55" hidden="false" customHeight="false" outlineLevel="0" collapsed="false">
      <c r="A2" s="5" t="s">
        <v>1878</v>
      </c>
      <c r="B2" s="5" t="n">
        <v>1</v>
      </c>
      <c r="C2" s="5" t="s">
        <v>1879</v>
      </c>
      <c r="D2" s="5" t="s">
        <v>1880</v>
      </c>
      <c r="E2" s="5" t="s">
        <v>1881</v>
      </c>
      <c r="F2" s="5" t="s">
        <v>1882</v>
      </c>
      <c r="G2" s="5" t="s">
        <v>1883</v>
      </c>
      <c r="H2" s="5" t="n">
        <v>2</v>
      </c>
      <c r="I2" s="5" t="s">
        <v>26</v>
      </c>
    </row>
    <row r="3" customFormat="false" ht="39.55" hidden="false" customHeight="false" outlineLevel="0" collapsed="false">
      <c r="A3" s="5" t="s">
        <v>1884</v>
      </c>
      <c r="B3" s="5" t="n">
        <v>1</v>
      </c>
      <c r="C3" s="5" t="s">
        <v>1879</v>
      </c>
      <c r="D3" s="5" t="s">
        <v>1885</v>
      </c>
      <c r="E3" s="5" t="s">
        <v>1886</v>
      </c>
      <c r="F3" s="5" t="s">
        <v>1887</v>
      </c>
      <c r="G3" s="5" t="s">
        <v>1888</v>
      </c>
      <c r="H3" s="5" t="n">
        <v>2</v>
      </c>
      <c r="I3" s="5" t="s">
        <v>26</v>
      </c>
    </row>
    <row r="4" customFormat="false" ht="26.85" hidden="false" customHeight="false" outlineLevel="0" collapsed="false">
      <c r="A4" s="5" t="s">
        <v>1889</v>
      </c>
      <c r="B4" s="5" t="n">
        <v>1</v>
      </c>
      <c r="C4" s="5" t="s">
        <v>1879</v>
      </c>
      <c r="D4" s="5" t="s">
        <v>1885</v>
      </c>
      <c r="E4" s="5" t="s">
        <v>1890</v>
      </c>
      <c r="F4" s="5" t="s">
        <v>1891</v>
      </c>
      <c r="G4" s="5" t="s">
        <v>1892</v>
      </c>
      <c r="H4" s="5" t="n">
        <v>2</v>
      </c>
      <c r="I4" s="5" t="s">
        <v>26</v>
      </c>
    </row>
    <row r="5" customFormat="false" ht="26.85" hidden="false" customHeight="false" outlineLevel="0" collapsed="false">
      <c r="A5" s="5" t="s">
        <v>1893</v>
      </c>
      <c r="B5" s="5" t="n">
        <v>1</v>
      </c>
      <c r="C5" s="5" t="s">
        <v>1879</v>
      </c>
      <c r="D5" s="5" t="s">
        <v>1885</v>
      </c>
      <c r="E5" s="5" t="s">
        <v>1894</v>
      </c>
      <c r="F5" s="5" t="s">
        <v>1895</v>
      </c>
      <c r="G5" s="5" t="s">
        <v>1896</v>
      </c>
      <c r="H5" s="5" t="n">
        <v>2</v>
      </c>
      <c r="I5" s="5" t="s">
        <v>26</v>
      </c>
    </row>
    <row r="6" customFormat="false" ht="26.85" hidden="false" customHeight="false" outlineLevel="0" collapsed="false">
      <c r="A6" s="5" t="s">
        <v>1897</v>
      </c>
      <c r="B6" s="5" t="n">
        <v>1</v>
      </c>
      <c r="C6" s="5" t="s">
        <v>1879</v>
      </c>
      <c r="D6" s="5" t="s">
        <v>29</v>
      </c>
      <c r="E6" s="5" t="s">
        <v>1898</v>
      </c>
      <c r="F6" s="5" t="s">
        <v>1899</v>
      </c>
      <c r="G6" s="5" t="s">
        <v>1900</v>
      </c>
      <c r="H6" s="5" t="n">
        <v>2</v>
      </c>
      <c r="I6" s="5" t="s">
        <v>26</v>
      </c>
    </row>
    <row r="7" customFormat="false" ht="26.85" hidden="false" customHeight="false" outlineLevel="0" collapsed="false">
      <c r="A7" s="5" t="s">
        <v>1901</v>
      </c>
      <c r="B7" s="5" t="n">
        <v>1</v>
      </c>
      <c r="C7" s="5" t="s">
        <v>1879</v>
      </c>
      <c r="D7" s="5" t="s">
        <v>29</v>
      </c>
      <c r="E7" s="5" t="s">
        <v>1902</v>
      </c>
      <c r="F7" s="5" t="s">
        <v>1903</v>
      </c>
      <c r="G7" s="5" t="s">
        <v>1904</v>
      </c>
      <c r="H7" s="5" t="n">
        <v>2</v>
      </c>
      <c r="I7" s="5" t="s">
        <v>26</v>
      </c>
    </row>
    <row r="8" customFormat="false" ht="26.85" hidden="false" customHeight="false" outlineLevel="0" collapsed="false">
      <c r="A8" s="5" t="s">
        <v>1905</v>
      </c>
      <c r="B8" s="5" t="n">
        <v>1</v>
      </c>
      <c r="C8" s="5" t="s">
        <v>1879</v>
      </c>
      <c r="D8" s="5" t="s">
        <v>29</v>
      </c>
      <c r="E8" s="5" t="s">
        <v>1906</v>
      </c>
      <c r="F8" s="5" t="s">
        <v>1907</v>
      </c>
      <c r="G8" s="5" t="s">
        <v>1908</v>
      </c>
      <c r="H8" s="5" t="n">
        <v>2</v>
      </c>
      <c r="I8" s="5" t="s">
        <v>26</v>
      </c>
    </row>
    <row r="9" customFormat="false" ht="26.85" hidden="false" customHeight="false" outlineLevel="0" collapsed="false">
      <c r="A9" s="5" t="s">
        <v>1909</v>
      </c>
      <c r="B9" s="5" t="n">
        <v>1</v>
      </c>
      <c r="C9" s="5" t="s">
        <v>1879</v>
      </c>
      <c r="D9" s="5" t="s">
        <v>29</v>
      </c>
      <c r="E9" s="5" t="s">
        <v>1910</v>
      </c>
      <c r="F9" s="5" t="s">
        <v>1911</v>
      </c>
      <c r="G9" s="5" t="s">
        <v>1912</v>
      </c>
      <c r="H9" s="5" t="n">
        <v>2</v>
      </c>
      <c r="I9" s="5" t="s">
        <v>26</v>
      </c>
    </row>
    <row r="10" customFormat="false" ht="26.85" hidden="false" customHeight="false" outlineLevel="0" collapsed="false">
      <c r="A10" s="5" t="s">
        <v>1913</v>
      </c>
      <c r="B10" s="5" t="n">
        <v>1</v>
      </c>
      <c r="C10" s="5" t="s">
        <v>1879</v>
      </c>
      <c r="D10" s="5" t="s">
        <v>29</v>
      </c>
      <c r="E10" s="5" t="s">
        <v>1914</v>
      </c>
      <c r="F10" s="5" t="s">
        <v>1915</v>
      </c>
      <c r="G10" s="5" t="s">
        <v>1916</v>
      </c>
      <c r="H10" s="5" t="n">
        <v>2</v>
      </c>
      <c r="I10" s="5" t="s">
        <v>26</v>
      </c>
    </row>
    <row r="11" customFormat="false" ht="26.85" hidden="false" customHeight="false" outlineLevel="0" collapsed="false">
      <c r="A11" s="5" t="s">
        <v>1917</v>
      </c>
      <c r="B11" s="5" t="n">
        <v>1</v>
      </c>
      <c r="C11" s="5" t="s">
        <v>1879</v>
      </c>
      <c r="D11" s="5" t="s">
        <v>29</v>
      </c>
      <c r="E11" s="5" t="s">
        <v>1918</v>
      </c>
      <c r="F11" s="5" t="s">
        <v>1919</v>
      </c>
      <c r="G11" s="5" t="s">
        <v>1920</v>
      </c>
      <c r="H11" s="5" t="n">
        <v>2</v>
      </c>
      <c r="I11" s="5" t="s">
        <v>26</v>
      </c>
    </row>
    <row r="12" customFormat="false" ht="26.85" hidden="false" customHeight="false" outlineLevel="0" collapsed="false">
      <c r="A12" s="5" t="s">
        <v>1921</v>
      </c>
      <c r="B12" s="5" t="n">
        <v>1</v>
      </c>
      <c r="C12" s="5" t="s">
        <v>1879</v>
      </c>
      <c r="D12" s="5" t="s">
        <v>29</v>
      </c>
      <c r="E12" s="5" t="s">
        <v>1922</v>
      </c>
      <c r="F12" s="5" t="s">
        <v>1923</v>
      </c>
      <c r="G12" s="5" t="s">
        <v>1924</v>
      </c>
      <c r="H12" s="5" t="n">
        <v>2</v>
      </c>
      <c r="I12" s="5" t="s">
        <v>26</v>
      </c>
    </row>
    <row r="13" customFormat="false" ht="26.85" hidden="false" customHeight="false" outlineLevel="0" collapsed="false">
      <c r="A13" s="5" t="s">
        <v>1925</v>
      </c>
      <c r="B13" s="5" t="n">
        <v>1</v>
      </c>
      <c r="C13" s="5" t="s">
        <v>1926</v>
      </c>
      <c r="D13" s="5" t="s">
        <v>1885</v>
      </c>
      <c r="E13" s="5" t="s">
        <v>1927</v>
      </c>
      <c r="F13" s="5" t="s">
        <v>1928</v>
      </c>
      <c r="G13" s="5" t="s">
        <v>1929</v>
      </c>
      <c r="H13" s="5" t="n">
        <v>1</v>
      </c>
      <c r="I13" s="5" t="s">
        <v>26</v>
      </c>
    </row>
    <row r="14" customFormat="false" ht="26.85" hidden="false" customHeight="false" outlineLevel="0" collapsed="false">
      <c r="A14" s="5" t="s">
        <v>1930</v>
      </c>
      <c r="B14" s="5" t="n">
        <v>1</v>
      </c>
      <c r="C14" s="5" t="s">
        <v>1926</v>
      </c>
      <c r="D14" s="5" t="s">
        <v>29</v>
      </c>
      <c r="E14" s="5" t="s">
        <v>1931</v>
      </c>
      <c r="F14" s="5" t="s">
        <v>1932</v>
      </c>
      <c r="G14" s="5" t="s">
        <v>1904</v>
      </c>
      <c r="H14" s="5" t="n">
        <v>1</v>
      </c>
      <c r="I14" s="5" t="s">
        <v>26</v>
      </c>
    </row>
    <row r="15" customFormat="false" ht="26.85" hidden="false" customHeight="false" outlineLevel="0" collapsed="false">
      <c r="A15" s="5" t="s">
        <v>1933</v>
      </c>
      <c r="B15" s="5" t="n">
        <v>1</v>
      </c>
      <c r="C15" s="5" t="s">
        <v>1926</v>
      </c>
      <c r="D15" s="5" t="s">
        <v>1885</v>
      </c>
      <c r="E15" s="5" t="s">
        <v>1934</v>
      </c>
      <c r="F15" s="5" t="s">
        <v>1935</v>
      </c>
      <c r="G15" s="5" t="s">
        <v>1936</v>
      </c>
      <c r="H15" s="5" t="n">
        <v>1</v>
      </c>
      <c r="I15" s="5" t="s">
        <v>26</v>
      </c>
    </row>
    <row r="16" customFormat="false" ht="26.85" hidden="false" customHeight="false" outlineLevel="0" collapsed="false">
      <c r="A16" s="5" t="s">
        <v>1937</v>
      </c>
      <c r="B16" s="5" t="n">
        <v>1</v>
      </c>
      <c r="C16" s="5" t="s">
        <v>1926</v>
      </c>
      <c r="D16" s="5" t="s">
        <v>1885</v>
      </c>
      <c r="E16" s="5" t="s">
        <v>1938</v>
      </c>
      <c r="F16" s="5" t="s">
        <v>1939</v>
      </c>
      <c r="G16" s="5" t="s">
        <v>1940</v>
      </c>
      <c r="H16" s="5" t="n">
        <v>1</v>
      </c>
      <c r="I16" s="5" t="s">
        <v>26</v>
      </c>
    </row>
    <row r="17" customFormat="false" ht="39.55" hidden="false" customHeight="false" outlineLevel="0" collapsed="false">
      <c r="A17" s="5" t="s">
        <v>1941</v>
      </c>
      <c r="B17" s="5" t="n">
        <v>2</v>
      </c>
      <c r="C17" s="5" t="s">
        <v>1879</v>
      </c>
      <c r="D17" s="5" t="s">
        <v>1880</v>
      </c>
      <c r="E17" s="5" t="s">
        <v>1942</v>
      </c>
      <c r="F17" s="5" t="s">
        <v>1943</v>
      </c>
      <c r="G17" s="5" t="s">
        <v>1944</v>
      </c>
      <c r="H17" s="5" t="n">
        <v>3</v>
      </c>
      <c r="I17" s="5" t="s">
        <v>26</v>
      </c>
    </row>
    <row r="18" customFormat="false" ht="26.85" hidden="false" customHeight="false" outlineLevel="0" collapsed="false">
      <c r="A18" s="5" t="s">
        <v>1945</v>
      </c>
      <c r="B18" s="5" t="n">
        <v>2</v>
      </c>
      <c r="C18" s="5" t="s">
        <v>1879</v>
      </c>
      <c r="D18" s="5" t="s">
        <v>1885</v>
      </c>
      <c r="E18" s="5" t="s">
        <v>1946</v>
      </c>
      <c r="F18" s="5" t="s">
        <v>1947</v>
      </c>
      <c r="G18" s="5" t="s">
        <v>1948</v>
      </c>
      <c r="H18" s="5" t="n">
        <v>3</v>
      </c>
      <c r="I18" s="5" t="s">
        <v>26</v>
      </c>
    </row>
    <row r="19" customFormat="false" ht="26.85" hidden="false" customHeight="false" outlineLevel="0" collapsed="false">
      <c r="A19" s="5" t="s">
        <v>1949</v>
      </c>
      <c r="B19" s="5" t="n">
        <v>2</v>
      </c>
      <c r="C19" s="5" t="s">
        <v>1879</v>
      </c>
      <c r="D19" s="5" t="s">
        <v>1885</v>
      </c>
      <c r="E19" s="5" t="s">
        <v>1950</v>
      </c>
      <c r="F19" s="5" t="s">
        <v>1951</v>
      </c>
      <c r="G19" s="5" t="s">
        <v>1952</v>
      </c>
      <c r="H19" s="5" t="n">
        <v>3</v>
      </c>
      <c r="I19" s="5" t="s">
        <v>26</v>
      </c>
    </row>
    <row r="20" customFormat="false" ht="26.85" hidden="false" customHeight="false" outlineLevel="0" collapsed="false">
      <c r="A20" s="5" t="s">
        <v>1953</v>
      </c>
      <c r="B20" s="5" t="n">
        <v>2</v>
      </c>
      <c r="C20" s="5" t="s">
        <v>1879</v>
      </c>
      <c r="D20" s="5" t="s">
        <v>1885</v>
      </c>
      <c r="E20" s="5" t="s">
        <v>1954</v>
      </c>
      <c r="F20" s="5" t="s">
        <v>1955</v>
      </c>
      <c r="G20" s="5" t="s">
        <v>1956</v>
      </c>
      <c r="H20" s="5" t="n">
        <v>3</v>
      </c>
      <c r="I20" s="5" t="s">
        <v>26</v>
      </c>
    </row>
    <row r="21" customFormat="false" ht="15" hidden="false" customHeight="false" outlineLevel="0" collapsed="false">
      <c r="A21" s="5" t="s">
        <v>1957</v>
      </c>
      <c r="B21" s="5" t="n">
        <v>2</v>
      </c>
      <c r="C21" s="5" t="s">
        <v>1879</v>
      </c>
      <c r="D21" s="5" t="s">
        <v>29</v>
      </c>
      <c r="E21" s="5" t="s">
        <v>1958</v>
      </c>
      <c r="F21" s="5" t="s">
        <v>1959</v>
      </c>
      <c r="G21" s="5" t="s">
        <v>1960</v>
      </c>
      <c r="H21" s="5" t="n">
        <v>3</v>
      </c>
      <c r="I21" s="5" t="s">
        <v>26</v>
      </c>
    </row>
    <row r="22" customFormat="false" ht="39.55" hidden="false" customHeight="false" outlineLevel="0" collapsed="false">
      <c r="A22" s="5" t="s">
        <v>1961</v>
      </c>
      <c r="B22" s="5" t="n">
        <v>2</v>
      </c>
      <c r="C22" s="5" t="s">
        <v>1879</v>
      </c>
      <c r="D22" s="5" t="s">
        <v>29</v>
      </c>
      <c r="E22" s="5" t="s">
        <v>1962</v>
      </c>
      <c r="F22" s="5" t="s">
        <v>1963</v>
      </c>
      <c r="G22" s="5" t="s">
        <v>1892</v>
      </c>
      <c r="H22" s="5" t="n">
        <v>3</v>
      </c>
      <c r="I22" s="5" t="s">
        <v>26</v>
      </c>
    </row>
    <row r="23" customFormat="false" ht="26.85" hidden="false" customHeight="false" outlineLevel="0" collapsed="false">
      <c r="A23" s="5" t="s">
        <v>1964</v>
      </c>
      <c r="B23" s="5" t="n">
        <v>2</v>
      </c>
      <c r="C23" s="5" t="s">
        <v>1879</v>
      </c>
      <c r="D23" s="5" t="s">
        <v>29</v>
      </c>
      <c r="E23" s="5" t="s">
        <v>1965</v>
      </c>
      <c r="F23" s="5" t="s">
        <v>1966</v>
      </c>
      <c r="G23" s="5" t="s">
        <v>1967</v>
      </c>
      <c r="H23" s="5" t="n">
        <v>3</v>
      </c>
      <c r="I23" s="5" t="s">
        <v>26</v>
      </c>
    </row>
    <row r="24" customFormat="false" ht="39.55" hidden="false" customHeight="false" outlineLevel="0" collapsed="false">
      <c r="A24" s="5" t="s">
        <v>1968</v>
      </c>
      <c r="B24" s="5" t="n">
        <v>3</v>
      </c>
      <c r="C24" s="5" t="s">
        <v>1879</v>
      </c>
      <c r="D24" s="5" t="s">
        <v>1885</v>
      </c>
      <c r="E24" s="5" t="s">
        <v>1969</v>
      </c>
      <c r="F24" s="5" t="s">
        <v>1970</v>
      </c>
      <c r="G24" s="5" t="s">
        <v>1971</v>
      </c>
      <c r="H24" s="5" t="n">
        <v>4</v>
      </c>
      <c r="I24" s="5" t="s">
        <v>26</v>
      </c>
    </row>
    <row r="25" customFormat="false" ht="26.85" hidden="false" customHeight="false" outlineLevel="0" collapsed="false">
      <c r="A25" s="5" t="s">
        <v>1972</v>
      </c>
      <c r="B25" s="5" t="n">
        <v>3</v>
      </c>
      <c r="C25" s="5" t="s">
        <v>1879</v>
      </c>
      <c r="D25" s="5" t="s">
        <v>1885</v>
      </c>
      <c r="E25" s="5" t="s">
        <v>1973</v>
      </c>
      <c r="F25" s="5" t="s">
        <v>1974</v>
      </c>
      <c r="G25" s="5" t="s">
        <v>1975</v>
      </c>
      <c r="H25" s="5" t="n">
        <v>4</v>
      </c>
      <c r="I25" s="5" t="s">
        <v>26</v>
      </c>
    </row>
    <row r="26" customFormat="false" ht="26.85" hidden="false" customHeight="false" outlineLevel="0" collapsed="false">
      <c r="A26" s="5" t="s">
        <v>1976</v>
      </c>
      <c r="B26" s="5" t="n">
        <v>3</v>
      </c>
      <c r="C26" s="5" t="s">
        <v>1879</v>
      </c>
      <c r="D26" s="5" t="s">
        <v>1885</v>
      </c>
      <c r="E26" s="5" t="s">
        <v>1977</v>
      </c>
      <c r="F26" s="5" t="s">
        <v>1978</v>
      </c>
      <c r="G26" s="5" t="s">
        <v>1956</v>
      </c>
      <c r="H26" s="5" t="n">
        <v>4</v>
      </c>
      <c r="I26" s="5" t="s">
        <v>26</v>
      </c>
    </row>
    <row r="27" customFormat="false" ht="26.85" hidden="false" customHeight="false" outlineLevel="0" collapsed="false">
      <c r="A27" s="5" t="s">
        <v>1979</v>
      </c>
      <c r="B27" s="5" t="n">
        <v>3</v>
      </c>
      <c r="C27" s="5" t="s">
        <v>1879</v>
      </c>
      <c r="D27" s="5" t="s">
        <v>29</v>
      </c>
      <c r="E27" s="5" t="s">
        <v>1980</v>
      </c>
      <c r="F27" s="5" t="s">
        <v>1981</v>
      </c>
      <c r="G27" s="5" t="s">
        <v>1956</v>
      </c>
      <c r="H27" s="5" t="n">
        <v>4</v>
      </c>
      <c r="I27" s="5" t="s">
        <v>26</v>
      </c>
    </row>
    <row r="28" customFormat="false" ht="26.85" hidden="false" customHeight="false" outlineLevel="0" collapsed="false">
      <c r="A28" s="5" t="s">
        <v>1982</v>
      </c>
      <c r="B28" s="5" t="n">
        <v>3</v>
      </c>
      <c r="C28" s="5" t="s">
        <v>1879</v>
      </c>
      <c r="D28" s="5" t="s">
        <v>29</v>
      </c>
      <c r="E28" s="5" t="s">
        <v>1983</v>
      </c>
      <c r="F28" s="5" t="s">
        <v>1984</v>
      </c>
      <c r="G28" s="5" t="s">
        <v>1985</v>
      </c>
      <c r="H28" s="5" t="n">
        <v>4</v>
      </c>
      <c r="I28" s="5" t="s">
        <v>26</v>
      </c>
    </row>
    <row r="29" customFormat="false" ht="26.85" hidden="false" customHeight="false" outlineLevel="0" collapsed="false">
      <c r="A29" s="5" t="s">
        <v>1986</v>
      </c>
      <c r="B29" s="5" t="n">
        <v>3</v>
      </c>
      <c r="C29" s="5" t="s">
        <v>1879</v>
      </c>
      <c r="D29" s="5" t="s">
        <v>29</v>
      </c>
      <c r="E29" s="5" t="s">
        <v>1987</v>
      </c>
      <c r="F29" s="5" t="s">
        <v>1988</v>
      </c>
      <c r="G29" s="5" t="s">
        <v>1989</v>
      </c>
      <c r="H29" s="5" t="n">
        <v>4</v>
      </c>
      <c r="I29" s="5" t="s">
        <v>26</v>
      </c>
    </row>
    <row r="30" customFormat="false" ht="26.85" hidden="false" customHeight="false" outlineLevel="0" collapsed="false">
      <c r="A30" s="5" t="s">
        <v>1990</v>
      </c>
      <c r="B30" s="5" t="n">
        <v>3</v>
      </c>
      <c r="C30" s="5" t="s">
        <v>1926</v>
      </c>
      <c r="D30" s="5" t="s">
        <v>1885</v>
      </c>
      <c r="E30" s="5" t="s">
        <v>1991</v>
      </c>
      <c r="F30" s="5" t="s">
        <v>1992</v>
      </c>
      <c r="G30" s="5" t="s">
        <v>1993</v>
      </c>
      <c r="H30" s="5" t="n">
        <v>4</v>
      </c>
      <c r="I30" s="5" t="s">
        <v>26</v>
      </c>
    </row>
    <row r="31" customFormat="false" ht="39.55" hidden="false" customHeight="false" outlineLevel="0" collapsed="false">
      <c r="A31" s="5" t="s">
        <v>1994</v>
      </c>
      <c r="B31" s="5" t="n">
        <v>4</v>
      </c>
      <c r="C31" s="5" t="s">
        <v>1879</v>
      </c>
      <c r="D31" s="5" t="s">
        <v>29</v>
      </c>
      <c r="E31" s="5" t="s">
        <v>1995</v>
      </c>
      <c r="F31" s="5" t="s">
        <v>1996</v>
      </c>
      <c r="G31" s="5" t="s">
        <v>1997</v>
      </c>
      <c r="H31" s="5" t="n">
        <v>5</v>
      </c>
      <c r="I31" s="5" t="s">
        <v>26</v>
      </c>
    </row>
  </sheetData>
  <conditionalFormatting sqref="I2:I31">
    <cfRule type="cellIs" priority="2" operator="equal" aboveAverage="0" equalAverage="0" bottom="0" percent="0" rank="0" text="" dxfId="5">
      <formula>"Fixed"</formula>
    </cfRule>
    <cfRule type="cellIs" priority="3" operator="equal" aboveAverage="0" equalAverage="0" bottom="0" percent="0" rank="0" text="" dxfId="6">
      <formula>"Open"</formula>
    </cfRule>
  </conditionalFormatting>
  <dataValidations count="1">
    <dataValidation allowBlank="true" errorStyle="stop" operator="between" showDropDown="false" showErrorMessage="false" showInputMessage="false" sqref="I2:I51" type="list">
      <formula1>"Fixed,Open,Accepted"</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2026-10-23T10:06:24Z</dcterms:created>
  <dc:creator>openpyxl</dc:creator>
  <dc:description/>
  <dc:language>en-US</dc:language>
  <cp:lastModifiedBy/>
  <dcterms:modified xsi:type="dcterms:W3CDTF">2026-10-23T10:06:24Z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